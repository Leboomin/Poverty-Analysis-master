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Desktop\clean-data-excel\"/>
    </mc:Choice>
  </mc:AlternateContent>
  <xr:revisionPtr revIDLastSave="0" documentId="8_{DFF1513F-6397-4D90-9D12-599C4BBC7A71}" xr6:coauthVersionLast="47" xr6:coauthVersionMax="47" xr10:uidLastSave="{00000000-0000-0000-0000-000000000000}"/>
  <bookViews>
    <workbookView xWindow="-120" yWindow="-120" windowWidth="51840" windowHeight="21120" activeTab="4" xr2:uid="{00000000-000D-0000-FFFF-FFFF00000000}"/>
  </bookViews>
  <sheets>
    <sheet name="Overview" sheetId="1" r:id="rId1"/>
    <sheet name="Indicators_Wide" sheetId="2" r:id="rId2"/>
    <sheet name="Indicators_Long" sheetId="3" r:id="rId3"/>
    <sheet name="Trend_Intervals" sheetId="4" r:id="rId4"/>
    <sheet name="Dashboard" sheetId="5" r:id="rId5"/>
    <sheet name="Concepts_Definitions" sheetId="6" r:id="rId6"/>
    <sheet name="Formula_Examples" sheetId="7" r:id="rId7"/>
    <sheet name="Metadata_Notes" sheetId="8" r:id="rId8"/>
    <sheet name="Raw_Table1" sheetId="9" r:id="rId9"/>
    <sheet name="Raw_Concepts" sheetId="10" r:id="rId1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7" l="1"/>
  <c r="E28" i="7"/>
  <c r="F27" i="7"/>
  <c r="E27" i="7"/>
  <c r="F26" i="7"/>
  <c r="B30" i="7" s="1"/>
  <c r="E26" i="7"/>
  <c r="F25" i="7"/>
  <c r="B31" i="7" s="1"/>
  <c r="E25" i="7"/>
  <c r="C19" i="7"/>
  <c r="D19" i="7" s="1"/>
  <c r="C20" i="7" s="1"/>
  <c r="D20" i="7" s="1"/>
  <c r="D18" i="7"/>
  <c r="D17" i="7"/>
  <c r="C17" i="7"/>
  <c r="D16" i="7"/>
  <c r="D15" i="7"/>
  <c r="F63" i="5"/>
  <c r="E63" i="5"/>
  <c r="D63" i="5"/>
  <c r="C63" i="5"/>
  <c r="B63" i="5"/>
  <c r="A63" i="5"/>
  <c r="F62" i="5"/>
  <c r="E62" i="5"/>
  <c r="D62" i="5"/>
  <c r="C62" i="5"/>
  <c r="B62" i="5"/>
  <c r="A62" i="5"/>
  <c r="F44" i="5"/>
  <c r="E44" i="5"/>
  <c r="D44" i="5"/>
  <c r="C44" i="5"/>
  <c r="B44" i="5"/>
  <c r="A44" i="5"/>
  <c r="F43" i="5"/>
  <c r="E43" i="5"/>
  <c r="D43" i="5"/>
  <c r="C43" i="5"/>
  <c r="B43" i="5"/>
  <c r="A43" i="5"/>
  <c r="F25" i="5"/>
  <c r="E25" i="5"/>
  <c r="D25" i="5"/>
  <c r="C25" i="5"/>
  <c r="B25" i="5"/>
  <c r="A25" i="5"/>
  <c r="F24" i="5"/>
  <c r="E24" i="5"/>
  <c r="D24" i="5"/>
  <c r="C24" i="5"/>
  <c r="B24" i="5"/>
  <c r="A24" i="5"/>
  <c r="F6" i="5"/>
  <c r="E6" i="5"/>
  <c r="D6" i="5"/>
  <c r="C6" i="5"/>
  <c r="B6" i="5"/>
  <c r="A6" i="5"/>
  <c r="F5" i="5"/>
  <c r="E5" i="5"/>
  <c r="D5" i="5"/>
  <c r="C5" i="5"/>
  <c r="B5" i="5"/>
  <c r="A5" i="5"/>
  <c r="J34" i="4"/>
  <c r="I34" i="4"/>
  <c r="K34" i="4" s="1"/>
  <c r="H34" i="4"/>
  <c r="G34" i="4"/>
  <c r="I33" i="4"/>
  <c r="K33" i="4" s="1"/>
  <c r="H33" i="4"/>
  <c r="G33" i="4"/>
  <c r="J32" i="4"/>
  <c r="I32" i="4"/>
  <c r="H32" i="4"/>
  <c r="K32" i="4" s="1"/>
  <c r="G32" i="4"/>
  <c r="I31" i="4"/>
  <c r="K31" i="4" s="1"/>
  <c r="H31" i="4"/>
  <c r="G31" i="4"/>
  <c r="J30" i="4"/>
  <c r="I30" i="4"/>
  <c r="K30" i="4" s="1"/>
  <c r="H30" i="4"/>
  <c r="G30" i="4"/>
  <c r="I29" i="4"/>
  <c r="H29" i="4"/>
  <c r="K29" i="4" s="1"/>
  <c r="G29" i="4"/>
  <c r="I28" i="4"/>
  <c r="H28" i="4"/>
  <c r="K28" i="4" s="1"/>
  <c r="G28" i="4"/>
  <c r="K27" i="4"/>
  <c r="I27" i="4"/>
  <c r="J27" i="4" s="1"/>
  <c r="H27" i="4"/>
  <c r="G27" i="4"/>
  <c r="I26" i="4"/>
  <c r="J26" i="4" s="1"/>
  <c r="H26" i="4"/>
  <c r="G26" i="4"/>
  <c r="K25" i="4"/>
  <c r="I25" i="4"/>
  <c r="J25" i="4" s="1"/>
  <c r="H25" i="4"/>
  <c r="G25" i="4"/>
  <c r="I24" i="4"/>
  <c r="K24" i="4" s="1"/>
  <c r="H24" i="4"/>
  <c r="G24" i="4"/>
  <c r="I23" i="4"/>
  <c r="K23" i="4" s="1"/>
  <c r="H23" i="4"/>
  <c r="G23" i="4"/>
  <c r="J22" i="4"/>
  <c r="I22" i="4"/>
  <c r="K22" i="4" s="1"/>
  <c r="H22" i="4"/>
  <c r="G22" i="4"/>
  <c r="I21" i="4"/>
  <c r="K21" i="4" s="1"/>
  <c r="H21" i="4"/>
  <c r="G21" i="4"/>
  <c r="J20" i="4"/>
  <c r="I20" i="4"/>
  <c r="H20" i="4"/>
  <c r="K20" i="4" s="1"/>
  <c r="G20" i="4"/>
  <c r="I19" i="4"/>
  <c r="K19" i="4" s="1"/>
  <c r="H19" i="4"/>
  <c r="G19" i="4"/>
  <c r="J18" i="4"/>
  <c r="I18" i="4"/>
  <c r="K18" i="4" s="1"/>
  <c r="H18" i="4"/>
  <c r="G18" i="4"/>
  <c r="K17" i="4"/>
  <c r="I17" i="4"/>
  <c r="H17" i="4"/>
  <c r="J17" i="4" s="1"/>
  <c r="G17" i="4"/>
  <c r="I16" i="4"/>
  <c r="H16" i="4"/>
  <c r="K16" i="4" s="1"/>
  <c r="G16" i="4"/>
  <c r="K15" i="4"/>
  <c r="I15" i="4"/>
  <c r="J15" i="4" s="1"/>
  <c r="H15" i="4"/>
  <c r="G15" i="4"/>
  <c r="I14" i="4"/>
  <c r="J14" i="4" s="1"/>
  <c r="H14" i="4"/>
  <c r="G14" i="4"/>
  <c r="K13" i="4"/>
  <c r="I13" i="4"/>
  <c r="J13" i="4" s="1"/>
  <c r="H13" i="4"/>
  <c r="G13" i="4"/>
  <c r="I12" i="4"/>
  <c r="K12" i="4" s="1"/>
  <c r="H12" i="4"/>
  <c r="G12" i="4"/>
  <c r="I11" i="4"/>
  <c r="K11" i="4" s="1"/>
  <c r="H11" i="4"/>
  <c r="G11" i="4"/>
  <c r="J10" i="4"/>
  <c r="I10" i="4"/>
  <c r="K10" i="4" s="1"/>
  <c r="H10" i="4"/>
  <c r="G10" i="4"/>
  <c r="J9" i="4"/>
  <c r="I9" i="4"/>
  <c r="K9" i="4" s="1"/>
  <c r="H9" i="4"/>
  <c r="G9" i="4"/>
  <c r="J8" i="4"/>
  <c r="I8" i="4"/>
  <c r="H8" i="4"/>
  <c r="K8" i="4" s="1"/>
  <c r="G8" i="4"/>
  <c r="I7" i="4"/>
  <c r="K7" i="4" s="1"/>
  <c r="H7" i="4"/>
  <c r="G7" i="4"/>
  <c r="J6" i="4"/>
  <c r="I6" i="4"/>
  <c r="K6" i="4" s="1"/>
  <c r="H6" i="4"/>
  <c r="G6" i="4"/>
  <c r="K5" i="4"/>
  <c r="I5" i="4"/>
  <c r="H5" i="4"/>
  <c r="J5" i="4" s="1"/>
  <c r="G5" i="4"/>
  <c r="I4" i="4"/>
  <c r="H4" i="4"/>
  <c r="K4" i="4" s="1"/>
  <c r="G4" i="4"/>
  <c r="K3" i="4"/>
  <c r="I3" i="4"/>
  <c r="J3" i="4" s="1"/>
  <c r="H3" i="4"/>
  <c r="G3" i="4"/>
  <c r="Q11" i="2"/>
  <c r="R11" i="2" s="1"/>
  <c r="O11" i="2"/>
  <c r="P11" i="2" s="1"/>
  <c r="M11" i="2"/>
  <c r="K11" i="2"/>
  <c r="N11" i="2" s="1"/>
  <c r="J11" i="2"/>
  <c r="R10" i="2"/>
  <c r="Q10" i="2"/>
  <c r="O10" i="2"/>
  <c r="P10" i="2" s="1"/>
  <c r="K10" i="2"/>
  <c r="J10" i="2"/>
  <c r="M10" i="2" s="1"/>
  <c r="Q9" i="2"/>
  <c r="R9" i="2" s="1"/>
  <c r="O9" i="2"/>
  <c r="P9" i="2" s="1"/>
  <c r="K9" i="2"/>
  <c r="N9" i="2" s="1"/>
  <c r="J9" i="2"/>
  <c r="R8" i="2"/>
  <c r="Q8" i="2"/>
  <c r="P8" i="2"/>
  <c r="O8" i="2"/>
  <c r="N8" i="2"/>
  <c r="L8" i="2"/>
  <c r="K8" i="2"/>
  <c r="M8" i="2" s="1"/>
  <c r="J8" i="2"/>
  <c r="Q7" i="2"/>
  <c r="R7" i="2" s="1"/>
  <c r="O7" i="2"/>
  <c r="P7" i="2" s="1"/>
  <c r="K7" i="2"/>
  <c r="N7" i="2" s="1"/>
  <c r="J7" i="2"/>
  <c r="R6" i="2"/>
  <c r="Q6" i="2"/>
  <c r="O6" i="2"/>
  <c r="P6" i="2" s="1"/>
  <c r="K6" i="2"/>
  <c r="J6" i="2"/>
  <c r="L6" i="2" s="1"/>
  <c r="Q5" i="2"/>
  <c r="R5" i="2" s="1"/>
  <c r="O5" i="2"/>
  <c r="P5" i="2" s="1"/>
  <c r="K5" i="2"/>
  <c r="N5" i="2" s="1"/>
  <c r="J5" i="2"/>
  <c r="R4" i="2"/>
  <c r="Q4" i="2"/>
  <c r="P4" i="2"/>
  <c r="O4" i="2"/>
  <c r="N4" i="2"/>
  <c r="L4" i="2"/>
  <c r="K4" i="2"/>
  <c r="M4" i="2" s="1"/>
  <c r="J4" i="2"/>
  <c r="E19" i="1"/>
  <c r="D19" i="1"/>
  <c r="E18" i="1"/>
  <c r="D18" i="1"/>
  <c r="E17" i="1"/>
  <c r="D17" i="1"/>
  <c r="E16" i="1"/>
  <c r="D16" i="1"/>
  <c r="M7" i="2" l="1"/>
  <c r="L10" i="2"/>
  <c r="N10" i="2"/>
  <c r="L5" i="2"/>
  <c r="J7" i="4"/>
  <c r="K14" i="4"/>
  <c r="J19" i="4"/>
  <c r="K26" i="4"/>
  <c r="J31" i="4"/>
  <c r="L9" i="2"/>
  <c r="M5" i="2"/>
  <c r="M9" i="2"/>
  <c r="J12" i="4"/>
  <c r="J24" i="4"/>
  <c r="M6" i="2"/>
  <c r="N6" i="2"/>
  <c r="J29" i="4"/>
  <c r="L7" i="2"/>
  <c r="L11" i="2"/>
  <c r="J11" i="4"/>
  <c r="J23" i="4"/>
  <c r="J4" i="4"/>
  <c r="J16" i="4"/>
  <c r="J28" i="4"/>
  <c r="J21" i="4"/>
  <c r="J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C15" authorId="0" shapeId="0" xr:uid="{00000000-0006-0000-0600-000001000000}">
      <text>
        <r>
          <rPr>
            <sz val="11"/>
            <color theme="1"/>
            <rFont val="Calibri"/>
            <family val="2"/>
            <scheme val="minor"/>
          </rPr>
          <t>Source: Concepts &amp; definitions sheet - $1.90 (PPP) a day poverty line</t>
        </r>
      </text>
    </comment>
    <comment ref="C16" authorId="0" shapeId="0" xr:uid="{00000000-0006-0000-0600-000002000000}">
      <text>
        <r>
          <rPr>
            <sz val="11"/>
            <color theme="1"/>
            <rFont val="Calibri"/>
            <family val="2"/>
            <scheme val="minor"/>
          </rPr>
          <t>Source: Concepts &amp; definitions sheet - Purchasing Power Parity (PPP)</t>
        </r>
      </text>
    </comment>
    <comment ref="C18" authorId="0" shapeId="0" xr:uid="{00000000-0006-0000-0600-000003000000}">
      <text>
        <r>
          <rPr>
            <sz val="11"/>
            <color theme="1"/>
            <rFont val="Calibri"/>
            <family val="2"/>
            <scheme val="minor"/>
          </rPr>
          <t>Source: Concepts &amp; definitions sheet example for 2017</t>
        </r>
      </text>
    </comment>
    <comment ref="B25" authorId="0" shapeId="0" xr:uid="{00000000-0006-0000-0600-000004000000}">
      <text>
        <r>
          <rPr>
            <sz val="11"/>
            <color theme="1"/>
            <rFont val="Calibri"/>
            <family val="2"/>
            <scheme val="minor"/>
          </rPr>
          <t>Source: Concepts &amp; definitions sheet - Calculation of HDI example for Mauritius 2015</t>
        </r>
      </text>
    </comment>
  </commentList>
</comments>
</file>

<file path=xl/sharedStrings.xml><?xml version="1.0" encoding="utf-8"?>
<sst xmlns="http://schemas.openxmlformats.org/spreadsheetml/2006/main" count="970" uniqueCount="325">
  <si>
    <t>Mauritius Relative Poverty Workbook</t>
  </si>
  <si>
    <t>Source file</t>
  </si>
  <si>
    <t>source_indicators-of-relative-poverty-republic-of-mauritius.xlsx</t>
  </si>
  <si>
    <t>Original title</t>
  </si>
  <si>
    <t>Table 1 - Indicators of relative poverty, Republic of Mauritius -1996/97, 2001/02, 2006/07, 2012 and 2017</t>
  </si>
  <si>
    <t>Original sheets</t>
  </si>
  <si>
    <t>Table 1, Concepts &amp; definitions</t>
  </si>
  <si>
    <t>Indicators extracted</t>
  </si>
  <si>
    <t>Survey periods</t>
  </si>
  <si>
    <t>Indicator observations</t>
  </si>
  <si>
    <t>Concept / definition entries</t>
  </si>
  <si>
    <t>Source note</t>
  </si>
  <si>
    <t>Source: Household Budget Survey 1996/97, 2001/02, 2006/07, 2012 and 2017</t>
  </si>
  <si>
    <t>Footnotes</t>
  </si>
  <si>
    <t>1 : Provisional figures | 2 :  See Concepts and Definitions</t>
  </si>
  <si>
    <t>Quick highlights from extracted data</t>
  </si>
  <si>
    <t>Metric</t>
  </si>
  <si>
    <t>1996/97</t>
  </si>
  <si>
    <t>2017</t>
  </si>
  <si>
    <t>Absolute change</t>
  </si>
  <si>
    <t>% change</t>
  </si>
  <si>
    <t>Comment</t>
  </si>
  <si>
    <t>Relative poverty line (Rs) per adult equivalent per month</t>
  </si>
  <si>
    <t>Relative poverty line increased strongly</t>
  </si>
  <si>
    <t>Estimated number of persons in relative poverty</t>
  </si>
  <si>
    <t>Estimated persons in poverty rose</t>
  </si>
  <si>
    <t>Proportion of persons in relative poverty (%)</t>
  </si>
  <si>
    <t>Person poverty rate ended at 10.3%</t>
  </si>
  <si>
    <t>Annual amount required to move people out of relative poverty (Rs Mn)</t>
  </si>
  <si>
    <t>Annual amount required rose sharply</t>
  </si>
  <si>
    <t>Workbook contents</t>
  </si>
  <si>
    <t>Sheet</t>
  </si>
  <si>
    <t>Purpose</t>
  </si>
  <si>
    <t>Main content</t>
  </si>
  <si>
    <t>Indicators_Wide</t>
  </si>
  <si>
    <t>Cleaned core table</t>
  </si>
  <si>
    <t>8 indicators across 5 survey periods plus formulas for change, CAGR, min and max</t>
  </si>
  <si>
    <t>Indicators_Long</t>
  </si>
  <si>
    <t>Tidy long-format data</t>
  </si>
  <si>
    <t>40 indicator-period records with footnotes and standardized years</t>
  </si>
  <si>
    <t>Trend_Intervals</t>
  </si>
  <si>
    <t>Consecutive-period changes</t>
  </si>
  <si>
    <t>32 interval-level change calculations</t>
  </si>
  <si>
    <t>Dashboard</t>
  </si>
  <si>
    <t>Visual summary</t>
  </si>
  <si>
    <t>Charts grouped by money, counts, rates and gap measures</t>
  </si>
  <si>
    <t>Concepts_Definitions</t>
  </si>
  <si>
    <t>Cleaned text extraction</t>
  </si>
  <si>
    <t>All concept and definition entries</t>
  </si>
  <si>
    <t>Formula_Examples</t>
  </si>
  <si>
    <t>Extracted formulas and worked examples</t>
  </si>
  <si>
    <t>Adult equivalent, PPP example, HDI example</t>
  </si>
  <si>
    <t>Metadata_Notes</t>
  </si>
  <si>
    <t>Source metadata</t>
  </si>
  <si>
    <t>Title, notes, footnotes and extraction details</t>
  </si>
  <si>
    <t>Raw_Table1</t>
  </si>
  <si>
    <t>Raw source copy</t>
  </si>
  <si>
    <t>Copied original table sheet</t>
  </si>
  <si>
    <t>Raw_Concepts</t>
  </si>
  <si>
    <t>Copied original concepts sheet</t>
  </si>
  <si>
    <t>Indicators of Relative Poverty - Cleaned Wide Table</t>
  </si>
  <si>
    <t>Metric_ID</t>
  </si>
  <si>
    <t>Category</t>
  </si>
  <si>
    <t>Unit</t>
  </si>
  <si>
    <t>2001/02</t>
  </si>
  <si>
    <t>2006/07</t>
  </si>
  <si>
    <t>2012</t>
  </si>
  <si>
    <t>First value</t>
  </si>
  <si>
    <t>Latest value</t>
  </si>
  <si>
    <t>CAGR</t>
  </si>
  <si>
    <t>Min value</t>
  </si>
  <si>
    <t>Min period</t>
  </si>
  <si>
    <t>Max value</t>
  </si>
  <si>
    <t>Max period</t>
  </si>
  <si>
    <t>Concept link / note</t>
  </si>
  <si>
    <t>M1</t>
  </si>
  <si>
    <t>Threshold</t>
  </si>
  <si>
    <t>Rs / adult equivalent / month</t>
  </si>
  <si>
    <t>Relative poverty line; Adult equivalent | Footnote 2</t>
  </si>
  <si>
    <t>M2</t>
  </si>
  <si>
    <t>Estimated number of households in relative poverty</t>
  </si>
  <si>
    <t>Count</t>
  </si>
  <si>
    <t>Households</t>
  </si>
  <si>
    <t>Poverty rate / Head count ratio</t>
  </si>
  <si>
    <t>M3</t>
  </si>
  <si>
    <t>Proportion of households in relative poverty (%)</t>
  </si>
  <si>
    <t>Rate</t>
  </si>
  <si>
    <t>%</t>
  </si>
  <si>
    <t>M4</t>
  </si>
  <si>
    <t>Persons</t>
  </si>
  <si>
    <t>M5</t>
  </si>
  <si>
    <t>M6</t>
  </si>
  <si>
    <t>Income gap ratio (%)</t>
  </si>
  <si>
    <t>Gap</t>
  </si>
  <si>
    <t>Income gap ratio (IGR)</t>
  </si>
  <si>
    <t>M7</t>
  </si>
  <si>
    <t>Poverty gap ratio (%)</t>
  </si>
  <si>
    <t>Poverty gap ratio (PGR)</t>
  </si>
  <si>
    <t>M8</t>
  </si>
  <si>
    <t>Monetary requirement</t>
  </si>
  <si>
    <t>Rs million</t>
  </si>
  <si>
    <t>Indicators of Relative Poverty - Long Format</t>
  </si>
  <si>
    <t>Concept link</t>
  </si>
  <si>
    <t>Survey period</t>
  </si>
  <si>
    <t>Year end</t>
  </si>
  <si>
    <t>Year footnote</t>
  </si>
  <si>
    <t>Metric footnote</t>
  </si>
  <si>
    <t>Value</t>
  </si>
  <si>
    <t>Relative poverty line; Adult equivalent</t>
  </si>
  <si>
    <t/>
  </si>
  <si>
    <t>2</t>
  </si>
  <si>
    <t>2012.0</t>
  </si>
  <si>
    <t>Consecutive-Period Change Analysis</t>
  </si>
  <si>
    <t>Start period</t>
  </si>
  <si>
    <t>End period</t>
  </si>
  <si>
    <t>Years</t>
  </si>
  <si>
    <t>Start value</t>
  </si>
  <si>
    <t>End value</t>
  </si>
  <si>
    <t>Visual Summary</t>
  </si>
  <si>
    <t>Monetary indicators</t>
  </si>
  <si>
    <t>Counts of poverty</t>
  </si>
  <si>
    <t>Poverty rates</t>
  </si>
  <si>
    <t>Gap indicators</t>
  </si>
  <si>
    <t>Concepts and Definitions - Clean Extraction</t>
  </si>
  <si>
    <t>Concept_ID</t>
  </si>
  <si>
    <t>Concept</t>
  </si>
  <si>
    <t>Definition</t>
  </si>
  <si>
    <t>Comments</t>
  </si>
  <si>
    <t>C01</t>
  </si>
  <si>
    <t>Relative poverty line</t>
  </si>
  <si>
    <t>It is defined in terms of the poverty of a lower income group relative to a higher income group;
It is set at 50% of the median monthly household income per adult equivalent.  
Households with monthly income per adult equivalent below this poverty line are considered to be in relative poverty.</t>
  </si>
  <si>
    <t>Referenced directly or indirectly by core poverty indicators.</t>
  </si>
  <si>
    <t>C02</t>
  </si>
  <si>
    <t>Household resources</t>
  </si>
  <si>
    <t>For poverty analysis, it is defined as the sum of  disposable income and imputed rent i.e. the rental value of houses of non-renting households.</t>
  </si>
  <si>
    <t>C03</t>
  </si>
  <si>
    <t>Disposable income</t>
  </si>
  <si>
    <t>It comprises income from employment, transfers, property, and income obtained from own produced goods; it excludes compulsory deductions such as income tax (PAYE) and contributions to pension and social security schemes.</t>
  </si>
  <si>
    <t>C04</t>
  </si>
  <si>
    <t>Adult equivalent</t>
  </si>
  <si>
    <t>The number of adult equivalents (E) in a household is determined according to the Bank and Johnson's equivalence scale as follows:
E = (A+0.7C)^0.7,
   where 
                 A = No. of adults
                 C = No. of children (&lt; 16 years)
e.g. A household of 2 adults and 2 children =  2.4 adult equivalents</t>
  </si>
  <si>
    <t>C05</t>
  </si>
  <si>
    <t>Poverty rate or headcount ratio can be defined in terms of persons or households.  It is the proportion of 'poor'  persons or households living below the poverty line, i.e</t>
  </si>
  <si>
    <t>C06</t>
  </si>
  <si>
    <t>It is a measure of the depth of poverty; it is the difference between the poverty line and the mean income of the poor expressed as a ratio of the poverty line as follows:
 IGR     =         Poverty line  -   Average income of poor</t>
  </si>
  <si>
    <t>Directly linked to gap metrics in Table 1.</t>
  </si>
  <si>
    <t>C07</t>
  </si>
  <si>
    <t>It is a measurement of both the extent and depth of poverty; it considers both the number of poor people and how poor they are.   
Poverty gap ratio = Poverty rate X Income gap ratio
It also indicates the total amount of money needed to bring all the poor out of poverty.
Amount in Rs = PGR X Poverty line (Rs)X Number of adult equivalents in the population</t>
  </si>
  <si>
    <t>C08</t>
  </si>
  <si>
    <t>Absolute poverty line</t>
  </si>
  <si>
    <t>An absolute poverty line is fixed at a point in time and is usually updated with price changes.   It allows to track the evolution of poverty over time.  It is commonly estimated as the cost of basic needs of a household in terms of food, housing, clothing and other essentials for living.</t>
  </si>
  <si>
    <t>C09</t>
  </si>
  <si>
    <t>$1.90 (PPP) a day poverty line 
also called the 'Extreme poverty line'</t>
  </si>
  <si>
    <t>This is a poverty line developed by World Bank to quantify global poverty whereby a person whose consumption expenditure is below $1.90 (PPP) a day is considered to be in extreme poverty. 
This extreme poverty line is measured in terms of PPP; it was originally set at $1 in 1980, then updated to $1.08 in 1993, $1.25 in 2005 and $1.90 in 2011.
How to calculate the poverty rate using the $1.90 PPP a day line
(i) The poverty line $1.90 (PPP) a day is converted into Mauritian Rupees using the 2011 PPP estimates for Mauritius ($1 PPP = Rs 18.2854 in 2011);
(ii) The poverty line in Rs is then adjusted for local price inflation to obtain equivalent poverty line for the required year; and 
(iii) Finally, household survey data is used to obtain the number of persons below the poverty line. 
For example, the poverty rate for 2017 (as shown in Table 2) is calculated as follows:
 a. The poverty line of $1.90 (PPP) a day in 2011 is equivalent to Rs(1.90* 18.2854) = Rs34.74 a day in 2011.
 b. Upon adjusting for local price inflation of 17.7% from 2012 to 2017, the poverty line works out to Rs(34.74*1.177) = Rs 40.89 a day in 2017
 c. The monthly equivalent poverty line in 2017 is estimated at Rs(40.89*365/12) or around Rs 1,245 
d. Finally, the monthly expenditure of each person (estimated as its corresponding household consumption expenditure per capita) as reported at the 2017 Household Budget Survey is compared with the poverty line of Rs 1,245 to obtain the proportion of persons living below the poverty line.</t>
  </si>
  <si>
    <t>C10</t>
  </si>
  <si>
    <t>$5.50 (PPP) a day poverty line</t>
  </si>
  <si>
    <t>This is a poverty line developed by world bank to quantify poverty in upper middle-income countries whereby a person whose consumption expenditure is below $5.5 (PPP) a day is considered poor. 
Re link: http://blogs.worldbank.org/developmenttalk/richer-array-international-poverty-lines
The methodology to compile the poverty rate for this poverty line is based on the same methodology of the $1.90 (PPP) a day line.</t>
  </si>
  <si>
    <t>C11</t>
  </si>
  <si>
    <t>Purchasing Power Parity (PPP)</t>
  </si>
  <si>
    <t>The Purchasing Power Parity is the amount of money in a country's currency needed to buy goods and services equivalent to what can be bought with $1 in the US.
Using the 2011 International Comparison Program results, $1 PPP, based on individual household consumption expenditure data, is equivalent to Rs 18.2854.</t>
  </si>
  <si>
    <t>C12</t>
  </si>
  <si>
    <t>Fixed threshold</t>
  </si>
  <si>
    <t>In the absence of an official absolute poverty line for the country, a 'Fixed threshold' has been used to track poverty over time.
The fixed threshold has been determined by 'fixing' the relative poverty line in a given year, i.e. by adjusting it with price inflation to obtain the equivalent poverty lines for other years.
For example, the 2017 Relative poverty lines in Table 2 have been held 'fixed' and adjusted for price changes to obtain equivalent poverty lines for 1996/97, 2001/02, 2006/07 and 2012 HBS.
The poverty rates based on 'fixed thresholds' are based on household income data.</t>
  </si>
  <si>
    <t>C13</t>
  </si>
  <si>
    <t>Household Consumption expenditure</t>
  </si>
  <si>
    <t>Household consumption expenditure includes:  
        (i) money expenditure on goods and services intended for consumption by the household; and  
        (ii) consumption of goods and services which are either own produced, received free or at reduced price by the households.</t>
  </si>
  <si>
    <t>C14</t>
  </si>
  <si>
    <t>Share of expenditure on food on total consumption expenditure (%)</t>
  </si>
  <si>
    <t>The share is:
                                                        Expenditure on food  
                                  Total household consumption expenditure  
Expenditure on food comprises expenses incurred on food and non-alcoholic beverages; it also includes food consumed away from home i.e. restaurants.</t>
  </si>
  <si>
    <t>C15</t>
  </si>
  <si>
    <t>A household is either:
(i) a one-person household, i.e., a person who makes provision for his own food or other essentials for living without combining with any other person to form part of a multi-person household; or
(ii) a multi person household, i.e, a group of two or more persons living together to make common provision for food or other essentials for living.  The person in the group may pool their incomes and have a common budget to a greater or lesser extent: they may be related or unrelated persons or a combination of both.</t>
  </si>
  <si>
    <t>C16</t>
  </si>
  <si>
    <t>Room</t>
  </si>
  <si>
    <t>A room is defined as a space in a housing unit enclosed by walls reaching from the floor to the ceiling or roof covering or at least to a height of two metres. 
It is of a size large enough to hold a bed for an adult. Its area is at least four square metres.</t>
  </si>
  <si>
    <t>C17</t>
  </si>
  <si>
    <t>Illiteracy rate</t>
  </si>
  <si>
    <t>A literate person is one, who can, with understanding, both read and write a short, simple statement on his or her everyday life.
Illiteracy rate (10 years and over) =  Number of persons aged 10 years and over who are not literate</t>
  </si>
  <si>
    <t>C18</t>
  </si>
  <si>
    <t>Unemployed</t>
  </si>
  <si>
    <t>Unemployed population refers to persons aged 16 years and above (16+) who are not working but who are looking for work and are available for work during the reference period 
Unemployment rate (16 years and over) =     Number of unemployed aged 16 years and over
                                                                                               Active* population aged 16 years and over 
* Active population is made up of employed and unemployed population.</t>
  </si>
  <si>
    <t>C19</t>
  </si>
  <si>
    <t>Active population</t>
  </si>
  <si>
    <t>Active population is made up of employed and unemployed population.</t>
  </si>
  <si>
    <t>C20</t>
  </si>
  <si>
    <t>Human Development Index (HDI)</t>
  </si>
  <si>
    <t>The HDI is an index developed by the UN to measure the average achievements of a country in three basic dimensions of human development, namely:
(i)  a long and healthy life - as measured by life expectancy
(ii) knowledge - as measured by expected years of schooling and mean years of schooling; and
(iii) a decent standard of living - as measured by GNI per capita.
It ranges between 0 (lowest level of human development) and 1 (highest level of human development).  The UN usually categorises countries  into 4 equal groups according to their level of HDI as follows: 
                                                      Level of human development             
                                                      Very High                                           HDI &gt;= 0.800
                                                      High                                           0.699 &lt; HDI &lt; 0.800
                                                      Medium                                    0.549 &lt; HDI &lt;= 0.699
                                                      Low                                                     HDI &lt;= 0.549</t>
  </si>
  <si>
    <t>Background concept included in source definitions.</t>
  </si>
  <si>
    <t>C21</t>
  </si>
  <si>
    <t>Calculation of HDI</t>
  </si>
  <si>
    <t>It is the geometric mean of the 3 dimension indices, namely (i) Health index (ii) Education index (iii) Income index, as described below. HDI and the dimension indices are calculated as:
                                  HDI = (Health index * Education index * Income index) ^ (1/3)
                                  Dimension index = actual value - minimum value 
                                                                    maximum value - minimum value
 For example, 2015 HDI for Mauritius, 
Required data 
          Indicator                                               Max (observed from data by country)         Minimum          Mauritius             
          Life expectancy (years)                  85                                                                                        20                      74.6   
          Mean years of schooling               15                                                                                           0                         9.1
          Expected years schooling             18                                                                                           0                       15.2
          GNI per capita (PPP 2011 $)         75,000                                                                               100                  17,948
Calculation:
          Health index =   74.6 - 20  = 0.840
                                             85 - 20    
          Mean years of schooling index = 9.1 - 0      = 0.607
                                                                             15 - 0     
         Expected years of schooling index = 15.2 / 18 = 0.844
        Education index  = 0.607 + 0.844  = 0.726
                                                        2      
         Income index = ln(17,948)- ln(100)    = 0.784
                                          ln (75,000) - ln(100)
         Human development index (HDI) = (0.840*0.726*0.784)^ (1/3) = 0.781 (approximately)</t>
  </si>
  <si>
    <t>Extracted Formulas and Worked Examples</t>
  </si>
  <si>
    <t>Key formulas extracted from Concepts &amp; Definitions</t>
  </si>
  <si>
    <t>Key constants and thresholds extracted</t>
  </si>
  <si>
    <t>Formula name</t>
  </si>
  <si>
    <t>Expression / rule</t>
  </si>
  <si>
    <t>Source concept</t>
  </si>
  <si>
    <t>Notes</t>
  </si>
  <si>
    <t>Constant</t>
  </si>
  <si>
    <t>Source</t>
  </si>
  <si>
    <t>50% of median monthly household income per adult equivalent</t>
  </si>
  <si>
    <t>Households below this line are considered in relative poverty.</t>
  </si>
  <si>
    <t>2011 PPP conversion</t>
  </si>
  <si>
    <t>Rs per $1 PPP</t>
  </si>
  <si>
    <t>E = (A + 0.7C)^0.7</t>
  </si>
  <si>
    <t>A = adults; C = children under 16.</t>
  </si>
  <si>
    <t>Extreme poverty line</t>
  </si>
  <si>
    <t>$ PPP per day</t>
  </si>
  <si>
    <t>$1.90 (PPP) a day poverty line</t>
  </si>
  <si>
    <t>Poverty gap ratio</t>
  </si>
  <si>
    <t>Poverty rate × Income gap ratio</t>
  </si>
  <si>
    <t>Measures extent and depth of poverty.</t>
  </si>
  <si>
    <t>Upper middle-income poverty line</t>
  </si>
  <si>
    <t>Amount needed in Rs</t>
  </si>
  <si>
    <t>PGR × Poverty line × Number of adult equivalents in population</t>
  </si>
  <si>
    <t>Represents total amount needed to bring all poor out of poverty.</t>
  </si>
  <si>
    <t>2012 to 2017 inflation factor</t>
  </si>
  <si>
    <t>multiple</t>
  </si>
  <si>
    <t>$1.90 (PPP) a day poverty line example</t>
  </si>
  <si>
    <t>HDI</t>
  </si>
  <si>
    <t>(Health index × Education index × Income index)^(1/3)</t>
  </si>
  <si>
    <t>Geometric mean of three dimension indices.</t>
  </si>
  <si>
    <t>2017 monthly extreme poverty line</t>
  </si>
  <si>
    <t>Rs per month</t>
  </si>
  <si>
    <t>Dimension index</t>
  </si>
  <si>
    <t>(Actual value - Minimum value) / (Maximum value - Minimum value)</t>
  </si>
  <si>
    <t>Used for health and education dimensions.</t>
  </si>
  <si>
    <t>HDI threshold - Very high</t>
  </si>
  <si>
    <t>HDI threshold - High lower bound</t>
  </si>
  <si>
    <t>HDI threshold - Medium lower bound</t>
  </si>
  <si>
    <t>Worked example: 2017 extreme poverty line from PPP inputs</t>
  </si>
  <si>
    <t>Step</t>
  </si>
  <si>
    <t>Description</t>
  </si>
  <si>
    <t>Input / formula</t>
  </si>
  <si>
    <t>Input</t>
  </si>
  <si>
    <t>World Bank poverty line</t>
  </si>
  <si>
    <t>$ PPP/day</t>
  </si>
  <si>
    <t>Calc</t>
  </si>
  <si>
    <t>Daily line in 2011 Rs</t>
  </si>
  <si>
    <t>Rs/day</t>
  </si>
  <si>
    <t>Inflation factor 2012 to 2017</t>
  </si>
  <si>
    <t>Daily line in 2017 Rs</t>
  </si>
  <si>
    <t>Monthly line in 2017 Rs</t>
  </si>
  <si>
    <t>Rs/month</t>
  </si>
  <si>
    <t>Worked example: Mauritius 2015 HDI calculation</t>
  </si>
  <si>
    <t>Indicator</t>
  </si>
  <si>
    <t>Actual value</t>
  </si>
  <si>
    <t>Minimum</t>
  </si>
  <si>
    <t>Maximum</t>
  </si>
  <si>
    <t>Formula</t>
  </si>
  <si>
    <t>Index value</t>
  </si>
  <si>
    <t>Life expectancy</t>
  </si>
  <si>
    <t>years</t>
  </si>
  <si>
    <t>Health index</t>
  </si>
  <si>
    <t>Mean years of schooling</t>
  </si>
  <si>
    <t>Education component</t>
  </si>
  <si>
    <t>Expected years of schooling</t>
  </si>
  <si>
    <t>GNI per capita (PPP 2011 $)</t>
  </si>
  <si>
    <t>PPP 2011 $</t>
  </si>
  <si>
    <t>Income index</t>
  </si>
  <si>
    <t>Education index</t>
  </si>
  <si>
    <t>Derived from schooling indices</t>
  </si>
  <si>
    <t>Expected approx. 0.781</t>
  </si>
  <si>
    <t>Metadata and Source Notes</t>
  </si>
  <si>
    <t>Original workbook metadata</t>
  </si>
  <si>
    <t>Field</t>
  </si>
  <si>
    <t>File name</t>
  </si>
  <si>
    <t>Used range - Table 1</t>
  </si>
  <si>
    <t>A2:F16</t>
  </si>
  <si>
    <t>Used range - Concepts &amp; definitions</t>
  </si>
  <si>
    <t>A2:B23</t>
  </si>
  <si>
    <t>Primary source text</t>
  </si>
  <si>
    <t>Extracted notes</t>
  </si>
  <si>
    <t>Note 1</t>
  </si>
  <si>
    <t>Provisional figures</t>
  </si>
  <si>
    <t>Note 2</t>
  </si>
  <si>
    <t>See Concepts and Definitions</t>
  </si>
  <si>
    <t>2017 footnote</t>
  </si>
  <si>
    <t>The 2017 period header carries footnote 1.</t>
  </si>
  <si>
    <t>The relative poverty line metric carries footnote 2.</t>
  </si>
  <si>
    <t>Extraction details</t>
  </si>
  <si>
    <t>Cleaning actions</t>
  </si>
  <si>
    <t>Whitespace normalized; footnote digits separated from labels; long-format rows created.</t>
  </si>
  <si>
    <t>Derived sheets</t>
  </si>
  <si>
    <t>Indicators_Wide, Indicators_Long, Trend_Intervals, Dashboard, Concepts_Definitions, Formula_Examples.</t>
  </si>
  <si>
    <t>No external sources added</t>
  </si>
  <si>
    <t>Workbook content comes only from the uploaded Excel file.</t>
  </si>
  <si>
    <t xml:space="preserve">Table 1 - Indicators of relative poverty, Republic of Mauritius -1996/97, 2001/02, 2006/07, 2012 and 2017 </t>
  </si>
  <si>
    <t xml:space="preserve">2001/02 </t>
  </si>
  <si>
    <t xml:space="preserve">2006/07 </t>
  </si>
  <si>
    <t>2017 1</t>
  </si>
  <si>
    <t>Relative poverty2 line (Rs) 
per adult equivalent2 per month</t>
  </si>
  <si>
    <t xml:space="preserve">Estimated number of households in relative poverty </t>
  </si>
  <si>
    <t xml:space="preserve">Source: Household Budget Survey 1996/97, 2001/02, 2006/07, 2012 and 2017 </t>
  </si>
  <si>
    <t>Note:</t>
  </si>
  <si>
    <t>1 : Provisional figures</t>
  </si>
  <si>
    <t>2 :  See Concepts and Definitions</t>
  </si>
  <si>
    <t>CONCEPTS &amp; DEFINITIONS</t>
  </si>
  <si>
    <t xml:space="preserve">Relative poverty line </t>
  </si>
  <si>
    <t xml:space="preserve">It is defined in terms of the poverty of a lower income group relative to a higher income group;
It is set at 50% of the median monthly household income per adult equivalent.  
Households with monthly income per adult equivalent below this poverty line are considered to be in relative poverty.
</t>
  </si>
  <si>
    <t xml:space="preserve">Disposable income </t>
  </si>
  <si>
    <t xml:space="preserve">Adult equivalent </t>
  </si>
  <si>
    <t xml:space="preserve">The number of adult equivalents (E) in a household is determined according to the Bank and Johnson's equivalence scale as follows:
E = (A+0.7C)^0.7,
   where 
                 A = No. of adults
                 C = No. of children (&lt; 16 years)
e.g. A household of 2 adults and 2 children =  2.4 adult equivalents
</t>
  </si>
  <si>
    <t xml:space="preserve">Poverty rate or headcount ratio can be defined in terms of persons or households.  It is the proportion of 'poor'  persons or households living below the poverty line, i.e 
</t>
  </si>
  <si>
    <t xml:space="preserve">Income gap ratio (IGR)  </t>
  </si>
  <si>
    <t xml:space="preserve">It is a measure of the depth of poverty; it is the difference between the poverty line and the mean income of the poor expressed as a ratio of the poverty line as follows:
 IGR     =         Poverty line  -   Average income of poor  
                           </t>
  </si>
  <si>
    <t xml:space="preserve">Poverty gap ratio (PGR) </t>
  </si>
  <si>
    <t xml:space="preserve">It is a measurement of both the extent and depth of poverty; it considers both the number of poor people and how poor they are.   
Poverty gap ratio = Poverty rate X Income gap ratio
It also indicates the total amount of money needed to bring all the poor out of poverty.
Amount in Rs = PGR X Poverty line (Rs)X Number of adult equivalents in the population
</t>
  </si>
  <si>
    <t xml:space="preserve">Absolute poverty line </t>
  </si>
  <si>
    <t xml:space="preserve">This is a poverty line developed by World Bank to quantify global poverty whereby a person whose consumption expenditure is below $1.90 (PPP) a day is considered to be in extreme poverty. 
This extreme poverty line is measured in terms of PPP; it was originally set at $1 in 1980, then updated to $1.08 in 1993, $1.25 in 2005 and $1.90 in 2011.
How to calculate the poverty rate using the $1.90 PPP a day line
(i) The poverty line $1.90 (PPP) a day is converted into Mauritian Rupees using the 2011 PPP estimates for Mauritius ($1 PPP = Rs 18.2854 in 2011);
(ii) The poverty line in Rs is then adjusted for local price inflation to obtain equivalent poverty line for the required year; and 
(iii) Finally, household survey data is used to obtain the number of persons below the poverty line. 
For example, the poverty rate for 2017 (as shown in Table 2) is calculated as follows:
 a. The poverty line of $1.90 (PPP) a day in 2011 is equivalent to Rs(1.90* 18.2854) = Rs34.74 a day in 2011.
 b. Upon adjusting for local price inflation of 17.7% from 2012 to 2017, the poverty line works out to Rs(34.74*1.177) = Rs 40.89 a day in 2017
 c. The monthly equivalent poverty line in 2017 is estimated at Rs(40.89*365/12) or around Rs 1,245 
d. Finally, the monthly expenditure of each person (estimated as its corresponding household consumption expenditure per capita) as reported at the 2017 Household Budget Survey is compared with the poverty line of Rs 1,245 to obtain the proportion of persons living below the poverty line.
</t>
  </si>
  <si>
    <t xml:space="preserve">$5.50 (PPP) a day poverty line </t>
  </si>
  <si>
    <t xml:space="preserve">This is a poverty line developed by world bank to quantify poverty in upper middle-income countries whereby a person whose consumption expenditure is below $5.5 (PPP) a day is considered poor. 
Re link: http://blogs.worldbank.org/developmenttalk/richer-array-international-poverty-lines
The methodology to compile the poverty rate for this poverty line is based on the same methodology of the $1.90 (PPP) a day line.
</t>
  </si>
  <si>
    <t xml:space="preserve">Purchasing Power Parity (PPP) </t>
  </si>
  <si>
    <t xml:space="preserve">The Purchasing Power Parity is the amount of money in a country's currency needed to buy goods and services equivalent to what can be bought with $1 in the US.
Using the 2011 International Comparison Program results, $1 PPP, based on individual household consumption expenditure data, is equivalent to Rs 18.2854.
</t>
  </si>
  <si>
    <t xml:space="preserve">In the absence of an official absolute poverty line for the country, a 'Fixed threshold' has been used to track poverty over time.
The fixed threshold has been determined by 'fixing' the relative poverty line in a given year, i.e. by adjusting it with price inflation to obtain the equivalent poverty lines for other years.
For example, the 2017 Relative poverty lines in Table 2 have been held 'fixed' and adjusted for price changes to obtain equivalent poverty lines for 1996/97, 2001/02, 2006/07 and 2012 HBS.
The poverty rates based on 'fixed thresholds' are based on household income data.
</t>
  </si>
  <si>
    <t xml:space="preserve">Household Consumption expenditure </t>
  </si>
  <si>
    <t xml:space="preserve">Household consumption expenditure includes:  
        (i) money expenditure on goods and services intended for consumption by the household; and  
        (ii) consumption of goods and services which are either own produced, received free or at reduced price by the households. </t>
  </si>
  <si>
    <t xml:space="preserve">Households </t>
  </si>
  <si>
    <t xml:space="preserve">A household is either:
(i) a one-person household, i.e., a person who makes provision for his own food or other essentials for living without combining with any other person to form part of a multi-person household; or
(ii) a multi person household, i.e, a group of two or more persons living together to make common provision for food or other essentials for living.  The person in the group may pool their incomes and have a common budget to a greater or lesser extent: they may be related or unrelated persons or a combination of both.
</t>
  </si>
  <si>
    <t xml:space="preserve">Room </t>
  </si>
  <si>
    <t xml:space="preserve">A room is defined as a space in a housing unit enclosed by walls reaching from the floor to the ceiling or roof covering or at least to a height of two metres. 
It is of a size large enough to hold a bed for an adult. Its area is at least four square metres. 
</t>
  </si>
  <si>
    <t xml:space="preserve">Illiteracy rate </t>
  </si>
  <si>
    <t xml:space="preserve">A literate person is one, who can, with understanding, both read and write a short, simple statement on his or her everyday life.
Illiteracy rate (10 years and over) =  Number of persons aged 10 years and over who are not literate
                                                                           </t>
  </si>
  <si>
    <t xml:space="preserve">Unemployed </t>
  </si>
  <si>
    <t xml:space="preserve">Human Development Index (HDI) </t>
  </si>
  <si>
    <t xml:space="preserve">The HDI is an index developed by the UN to measure the average achievements of a country in three basic dimensions of human development, namely:
(i)  a long and healthy life - as measured by life expectancy
(ii) knowledge - as measured by expected years of schooling and mean years of schooling; and
(iii) a decent standard of living - as measured by GNI per capita.
It ranges between 0 (lowest level of human development) and 1 (highest level of human development).  The UN usually categorises countries  into 4 equal groups according to their level of HDI as follows: 
                                                      Level of human development             
                                                      Very High                                           HDI &gt;= 0.800
                                                      High                                           0.699 &lt; HDI &lt; 0.800
                                                      Medium                                    0.549 &lt; HDI &lt;= 0.699
                                                      Low                                                     HDI &lt;= 0.549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</si>
</sst>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_(* #,##0_);_(* \(#,##0\);_(* &quot;-&quot;??_);_(@_)"/>
  </numFmts>
  <fonts count="14" x14ac:knownFonts="1">
    <font>
      <sz val="11"/>
      <color theme="1"/>
      <name val="Calibri"/>
      <family val="2"/>
      <scheme val="minor"/>
    </font>
    <font>
      <b/>
      <sz val="16"/>
      <color rgb="FFFFFFFF"/>
      <name val="Calibri"/>
    </font>
    <font>
      <b/>
      <sz val="11"/>
      <color rgb="FF666666"/>
      <name val="Calibri"/>
    </font>
    <font>
      <b/>
      <sz val="11"/>
      <color rgb="FFFFFFFF"/>
      <name val="Calibri"/>
    </font>
    <font>
      <sz val="11"/>
      <color rgb="FF008000"/>
      <name val="Calibri"/>
    </font>
    <font>
      <sz val="11"/>
      <color rgb="FF000000"/>
      <name val="Calibri"/>
    </font>
    <font>
      <b/>
      <sz val="15"/>
      <color rgb="FFFFFFFF"/>
      <name val="Calibri"/>
    </font>
    <font>
      <sz val="11"/>
      <color rgb="FF666666"/>
      <name val="Calibri"/>
    </font>
    <font>
      <u/>
      <sz val="11"/>
      <color theme="10"/>
      <name val="Calibri"/>
    </font>
    <font>
      <sz val="11"/>
      <color theme="1"/>
      <name val="Calibri"/>
    </font>
    <font>
      <b/>
      <sz val="11"/>
      <color theme="1"/>
      <name val="Calibri"/>
    </font>
    <font>
      <b/>
      <i/>
      <sz val="10"/>
      <color theme="1"/>
      <name val="Calibri"/>
    </font>
    <font>
      <sz val="11"/>
      <color rgb="FF000000"/>
      <name val="Calibri"/>
    </font>
    <font>
      <b/>
      <sz val="12"/>
      <color theme="1"/>
      <name val="Calibri"/>
    </font>
  </fonts>
  <fills count="4">
    <fill>
      <patternFill patternType="none"/>
    </fill>
    <fill>
      <patternFill patternType="gray125"/>
    </fill>
    <fill>
      <patternFill patternType="solid">
        <fgColor rgb="FF1F4E78"/>
      </patternFill>
    </fill>
    <fill>
      <patternFill patternType="solid">
        <fgColor rgb="FFF2F2F2"/>
      </patternFill>
    </fill>
  </fills>
  <borders count="7">
    <border>
      <left/>
      <right/>
      <top/>
      <bottom/>
      <diagonal/>
    </border>
    <border>
      <left/>
      <right/>
      <top/>
      <bottom style="medium">
        <color rgb="FFFFFFFF"/>
      </bottom>
      <diagonal/>
    </border>
    <border>
      <left/>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bottom/>
      <diagonal/>
    </border>
  </borders>
  <cellStyleXfs count="1">
    <xf numFmtId="0" fontId="0" fillId="0" borderId="0"/>
  </cellStyleXfs>
  <cellXfs count="55">
    <xf numFmtId="0" fontId="0" fillId="0" borderId="0" xfId="0"/>
    <xf numFmtId="0" fontId="2" fillId="3" borderId="0" xfId="0" applyFont="1" applyFill="1"/>
    <xf numFmtId="0" fontId="0" fillId="0" borderId="0" xfId="0" applyAlignment="1">
      <alignment vertical="top" wrapText="1"/>
    </xf>
    <xf numFmtId="0" fontId="3" fillId="2" borderId="1" xfId="0" applyFont="1" applyFill="1" applyBorder="1" applyAlignment="1">
      <alignment horizontal="center" vertical="center" wrapText="1"/>
    </xf>
    <xf numFmtId="0" fontId="4" fillId="0" borderId="0" xfId="0" applyFont="1"/>
    <xf numFmtId="0" fontId="5" fillId="0" borderId="0" xfId="0" applyFont="1"/>
    <xf numFmtId="164" fontId="5" fillId="0" borderId="0" xfId="0" applyNumberFormat="1" applyFont="1"/>
    <xf numFmtId="0" fontId="7" fillId="0" borderId="0" xfId="0" applyFont="1" applyAlignment="1">
      <alignment vertical="top" wrapText="1"/>
    </xf>
    <xf numFmtId="3" fontId="4" fillId="0" borderId="0" xfId="0" applyNumberFormat="1" applyFont="1" applyAlignment="1">
      <alignment vertical="top" wrapText="1"/>
    </xf>
    <xf numFmtId="0" fontId="5" fillId="0" borderId="0" xfId="0" applyFont="1" applyAlignment="1">
      <alignment vertical="top" wrapText="1"/>
    </xf>
    <xf numFmtId="164" fontId="5" fillId="0" borderId="0" xfId="0" applyNumberFormat="1" applyFont="1" applyAlignment="1">
      <alignment vertical="top" wrapText="1"/>
    </xf>
    <xf numFmtId="165" fontId="4" fillId="0" borderId="0" xfId="0" applyNumberFormat="1" applyFont="1" applyAlignment="1">
      <alignment vertical="top" wrapText="1"/>
    </xf>
    <xf numFmtId="165" fontId="5" fillId="0" borderId="0" xfId="0" applyNumberFormat="1" applyFont="1" applyAlignment="1">
      <alignment vertical="top" wrapText="1"/>
    </xf>
    <xf numFmtId="0" fontId="7" fillId="0" borderId="0" xfId="0" applyFont="1"/>
    <xf numFmtId="3" fontId="5" fillId="0" borderId="0" xfId="0" applyNumberFormat="1" applyFont="1"/>
    <xf numFmtId="165" fontId="5" fillId="0" borderId="0" xfId="0" applyNumberFormat="1" applyFont="1"/>
    <xf numFmtId="0" fontId="4" fillId="0" borderId="0" xfId="0" applyFont="1" applyAlignment="1">
      <alignment vertical="top" wrapText="1"/>
    </xf>
    <xf numFmtId="4" fontId="5" fillId="0" borderId="0" xfId="0" applyNumberFormat="1" applyFont="1"/>
    <xf numFmtId="0" fontId="2" fillId="0" borderId="0" xfId="0" applyFont="1"/>
    <xf numFmtId="166" fontId="5" fillId="0" borderId="0" xfId="0" applyNumberFormat="1" applyFont="1"/>
    <xf numFmtId="0" fontId="8" fillId="0" borderId="2" xfId="0" applyFont="1" applyBorder="1"/>
    <xf numFmtId="0" fontId="9" fillId="0" borderId="2" xfId="0" applyFont="1" applyBorder="1"/>
    <xf numFmtId="0" fontId="10" fillId="0" borderId="2" xfId="0" applyFont="1" applyBorder="1" applyAlignment="1">
      <alignment horizontal="left" vertical="center"/>
    </xf>
    <xf numFmtId="0" fontId="9" fillId="0" borderId="3" xfId="0" applyFont="1" applyBorder="1"/>
    <xf numFmtId="0" fontId="10" fillId="0" borderId="3" xfId="0" applyFont="1" applyBorder="1" applyAlignment="1">
      <alignment horizontal="center" vertical="center"/>
    </xf>
    <xf numFmtId="0" fontId="10" fillId="0" borderId="2" xfId="0" applyFont="1" applyBorder="1" applyAlignment="1">
      <alignment horizontal="left" vertical="center" wrapText="1"/>
    </xf>
    <xf numFmtId="3" fontId="10" fillId="0" borderId="2" xfId="0" applyNumberFormat="1" applyFont="1" applyBorder="1" applyAlignment="1">
      <alignment horizontal="center" vertical="center"/>
    </xf>
    <xf numFmtId="0" fontId="9" fillId="0" borderId="2" xfId="0" applyFont="1" applyBorder="1" applyAlignment="1">
      <alignment horizontal="left" vertical="center" wrapText="1"/>
    </xf>
    <xf numFmtId="3"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left" vertical="center" wrapText="1"/>
    </xf>
    <xf numFmtId="3" fontId="9" fillId="0" borderId="4" xfId="0" applyNumberFormat="1" applyFont="1" applyBorder="1" applyAlignment="1">
      <alignment horizontal="center" vertical="center"/>
    </xf>
    <xf numFmtId="0" fontId="9" fillId="0" borderId="5" xfId="0" applyFont="1" applyBorder="1" applyAlignment="1">
      <alignment horizontal="left" vertical="center" wrapText="1"/>
    </xf>
    <xf numFmtId="0" fontId="9" fillId="0" borderId="5" xfId="0" applyFont="1" applyBorder="1" applyAlignment="1">
      <alignment horizontal="center" vertical="center"/>
    </xf>
    <xf numFmtId="165" fontId="9" fillId="0" borderId="2" xfId="0" applyNumberFormat="1" applyFont="1" applyBorder="1" applyAlignment="1">
      <alignment horizontal="center" vertical="center"/>
    </xf>
    <xf numFmtId="165" fontId="10" fillId="0" borderId="2" xfId="0" applyNumberFormat="1" applyFont="1" applyBorder="1" applyAlignment="1">
      <alignment horizontal="center" vertical="center"/>
    </xf>
    <xf numFmtId="0" fontId="10" fillId="0" borderId="2" xfId="0" applyFont="1" applyBorder="1" applyAlignment="1">
      <alignment horizontal="center" vertical="center"/>
    </xf>
    <xf numFmtId="0" fontId="9" fillId="0" borderId="3" xfId="0" applyFont="1" applyBorder="1" applyAlignment="1">
      <alignment horizontal="left" vertical="center" wrapText="1"/>
    </xf>
    <xf numFmtId="0" fontId="9" fillId="0" borderId="3" xfId="0" applyFont="1" applyBorder="1" applyAlignment="1">
      <alignment horizontal="center" vertical="center"/>
    </xf>
    <xf numFmtId="3" fontId="9" fillId="0" borderId="3" xfId="0" applyNumberFormat="1" applyFont="1" applyBorder="1" applyAlignment="1">
      <alignment horizontal="center" vertical="center"/>
    </xf>
    <xf numFmtId="0" fontId="11" fillId="0" borderId="2" xfId="0" applyFont="1" applyBorder="1"/>
    <xf numFmtId="17" fontId="10" fillId="0" borderId="2" xfId="0" applyNumberFormat="1" applyFont="1" applyBorder="1" applyAlignment="1">
      <alignment horizontal="left" vertical="center" wrapText="1"/>
    </xf>
    <xf numFmtId="167" fontId="9" fillId="0" borderId="2" xfId="0" applyNumberFormat="1" applyFont="1" applyBorder="1"/>
    <xf numFmtId="0" fontId="10" fillId="0" borderId="2" xfId="0" applyFont="1" applyBorder="1"/>
    <xf numFmtId="0" fontId="9" fillId="0" borderId="2" xfId="0" applyFont="1" applyBorder="1" applyAlignment="1">
      <alignment horizontal="left" vertical="center"/>
    </xf>
    <xf numFmtId="0" fontId="12" fillId="0" borderId="2" xfId="0" applyFont="1" applyBorder="1" applyAlignment="1">
      <alignment horizontal="left" vertical="center"/>
    </xf>
    <xf numFmtId="0" fontId="13" fillId="0" borderId="2" xfId="0" applyFont="1" applyBorder="1" applyAlignment="1">
      <alignment horizontal="left" vertical="center"/>
    </xf>
    <xf numFmtId="0" fontId="10" fillId="0" borderId="2" xfId="0" applyFont="1" applyBorder="1" applyAlignment="1">
      <alignment horizontal="left" vertical="top" wrapText="1"/>
    </xf>
    <xf numFmtId="0" fontId="9" fillId="0" borderId="2" xfId="0" applyFont="1" applyBorder="1" applyAlignment="1">
      <alignment horizontal="left" vertical="top" wrapText="1"/>
    </xf>
    <xf numFmtId="0" fontId="9" fillId="0" borderId="2" xfId="0" applyFont="1" applyBorder="1" applyAlignment="1">
      <alignment vertical="top"/>
    </xf>
    <xf numFmtId="0" fontId="3" fillId="2" borderId="0" xfId="0" applyFont="1" applyFill="1"/>
    <xf numFmtId="0" fontId="0" fillId="0" borderId="0" xfId="0"/>
    <xf numFmtId="0" fontId="1" fillId="2" borderId="0" xfId="0" applyFont="1" applyFill="1"/>
    <xf numFmtId="0" fontId="6" fillId="2" borderId="0" xfId="0" applyFont="1" applyFill="1"/>
    <xf numFmtId="0" fontId="9"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Monetary indicators</a:t>
            </a:r>
          </a:p>
        </c:rich>
      </c:tx>
      <c:overlay val="0"/>
    </c:title>
    <c:autoTitleDeleted val="0"/>
    <c:plotArea>
      <c:layout/>
      <c:lineChart>
        <c:grouping val="standard"/>
        <c:varyColors val="0"/>
        <c:ser>
          <c:idx val="0"/>
          <c:order val="0"/>
          <c:tx>
            <c:strRef>
              <c:f>Dashboard!$A$5</c:f>
              <c:strCache>
                <c:ptCount val="1"/>
                <c:pt idx="0">
                  <c:v>Relative poverty line (Rs) per adult equivalent per month</c:v>
                </c:pt>
              </c:strCache>
            </c:strRef>
          </c:tx>
          <c:spPr>
            <a:ln>
              <a:prstDash val="solid"/>
            </a:ln>
          </c:spPr>
          <c:marker>
            <c:symbol val="none"/>
          </c:marker>
          <c:cat>
            <c:strRef>
              <c:f>Dashboard!$B$4:$F$4</c:f>
              <c:strCache>
                <c:ptCount val="5"/>
                <c:pt idx="0">
                  <c:v>1996/97</c:v>
                </c:pt>
                <c:pt idx="1">
                  <c:v>2001/02</c:v>
                </c:pt>
                <c:pt idx="2">
                  <c:v>2006/07</c:v>
                </c:pt>
                <c:pt idx="3">
                  <c:v>2012.0</c:v>
                </c:pt>
                <c:pt idx="4">
                  <c:v>2017</c:v>
                </c:pt>
              </c:strCache>
            </c:strRef>
          </c:cat>
          <c:val>
            <c:numRef>
              <c:f>Dashboard!$B$5:$F$5</c:f>
              <c:numCache>
                <c:formatCode>General</c:formatCode>
                <c:ptCount val="5"/>
                <c:pt idx="0">
                  <c:v>2004</c:v>
                </c:pt>
                <c:pt idx="1">
                  <c:v>2804</c:v>
                </c:pt>
                <c:pt idx="2">
                  <c:v>3821</c:v>
                </c:pt>
                <c:pt idx="3">
                  <c:v>5652</c:v>
                </c:pt>
                <c:pt idx="4">
                  <c:v>7497</c:v>
                </c:pt>
              </c:numCache>
            </c:numRef>
          </c:val>
          <c:smooth val="0"/>
          <c:extLst>
            <c:ext xmlns:c16="http://schemas.microsoft.com/office/drawing/2014/chart" uri="{C3380CC4-5D6E-409C-BE32-E72D297353CC}">
              <c16:uniqueId val="{00000000-318F-4D7F-896C-3E99898ACFF2}"/>
            </c:ext>
          </c:extLst>
        </c:ser>
        <c:ser>
          <c:idx val="1"/>
          <c:order val="1"/>
          <c:tx>
            <c:strRef>
              <c:f>Dashboard!$A$6</c:f>
              <c:strCache>
                <c:ptCount val="1"/>
                <c:pt idx="0">
                  <c:v>Annual amount required to move people out of relative poverty (Rs Mn)</c:v>
                </c:pt>
              </c:strCache>
            </c:strRef>
          </c:tx>
          <c:spPr>
            <a:ln>
              <a:prstDash val="solid"/>
            </a:ln>
          </c:spPr>
          <c:marker>
            <c:symbol val="none"/>
          </c:marker>
          <c:cat>
            <c:strRef>
              <c:f>Dashboard!$B$4:$F$4</c:f>
              <c:strCache>
                <c:ptCount val="5"/>
                <c:pt idx="0">
                  <c:v>1996/97</c:v>
                </c:pt>
                <c:pt idx="1">
                  <c:v>2001/02</c:v>
                </c:pt>
                <c:pt idx="2">
                  <c:v>2006/07</c:v>
                </c:pt>
                <c:pt idx="3">
                  <c:v>2012.0</c:v>
                </c:pt>
                <c:pt idx="4">
                  <c:v>2017</c:v>
                </c:pt>
              </c:strCache>
            </c:strRef>
          </c:cat>
          <c:val>
            <c:numRef>
              <c:f>Dashboard!$B$6:$F$6</c:f>
              <c:numCache>
                <c:formatCode>General</c:formatCode>
                <c:ptCount val="5"/>
                <c:pt idx="0">
                  <c:v>300</c:v>
                </c:pt>
                <c:pt idx="1">
                  <c:v>450</c:v>
                </c:pt>
                <c:pt idx="2">
                  <c:v>700</c:v>
                </c:pt>
                <c:pt idx="3">
                  <c:v>1300</c:v>
                </c:pt>
                <c:pt idx="4">
                  <c:v>1900</c:v>
                </c:pt>
              </c:numCache>
            </c:numRef>
          </c:val>
          <c:smooth val="0"/>
          <c:extLst>
            <c:ext xmlns:c16="http://schemas.microsoft.com/office/drawing/2014/chart" uri="{C3380CC4-5D6E-409C-BE32-E72D297353CC}">
              <c16:uniqueId val="{00000001-318F-4D7F-896C-3E99898ACFF2}"/>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TickMark val="none"/>
        <c:minorTickMark val="none"/>
        <c:tickLblPos val="nextTo"/>
        <c:crossAx val="48650112"/>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Counts of poverty</a:t>
            </a:r>
          </a:p>
        </c:rich>
      </c:tx>
      <c:overlay val="0"/>
    </c:title>
    <c:autoTitleDeleted val="0"/>
    <c:plotArea>
      <c:layout/>
      <c:lineChart>
        <c:grouping val="standard"/>
        <c:varyColors val="0"/>
        <c:ser>
          <c:idx val="0"/>
          <c:order val="0"/>
          <c:tx>
            <c:strRef>
              <c:f>Dashboard!$A$24</c:f>
              <c:strCache>
                <c:ptCount val="1"/>
                <c:pt idx="0">
                  <c:v>Estimated number of households in relative poverty</c:v>
                </c:pt>
              </c:strCache>
            </c:strRef>
          </c:tx>
          <c:spPr>
            <a:ln>
              <a:prstDash val="solid"/>
            </a:ln>
          </c:spPr>
          <c:marker>
            <c:symbol val="none"/>
          </c:marker>
          <c:cat>
            <c:strRef>
              <c:f>Dashboard!$B$23:$F$23</c:f>
              <c:strCache>
                <c:ptCount val="5"/>
                <c:pt idx="0">
                  <c:v>1996/97</c:v>
                </c:pt>
                <c:pt idx="1">
                  <c:v>2001/02</c:v>
                </c:pt>
                <c:pt idx="2">
                  <c:v>2006/07</c:v>
                </c:pt>
                <c:pt idx="3">
                  <c:v>2012.0</c:v>
                </c:pt>
                <c:pt idx="4">
                  <c:v>2017</c:v>
                </c:pt>
              </c:strCache>
            </c:strRef>
          </c:cat>
          <c:val>
            <c:numRef>
              <c:f>Dashboard!$B$24:$F$24</c:f>
              <c:numCache>
                <c:formatCode>General</c:formatCode>
                <c:ptCount val="5"/>
                <c:pt idx="0">
                  <c:v>23800</c:v>
                </c:pt>
                <c:pt idx="1">
                  <c:v>23700</c:v>
                </c:pt>
                <c:pt idx="2">
                  <c:v>26100</c:v>
                </c:pt>
                <c:pt idx="3">
                  <c:v>33600</c:v>
                </c:pt>
                <c:pt idx="4">
                  <c:v>36100</c:v>
                </c:pt>
              </c:numCache>
            </c:numRef>
          </c:val>
          <c:smooth val="0"/>
          <c:extLst>
            <c:ext xmlns:c16="http://schemas.microsoft.com/office/drawing/2014/chart" uri="{C3380CC4-5D6E-409C-BE32-E72D297353CC}">
              <c16:uniqueId val="{00000000-1C6B-4C74-9DFE-5A1245B63731}"/>
            </c:ext>
          </c:extLst>
        </c:ser>
        <c:ser>
          <c:idx val="1"/>
          <c:order val="1"/>
          <c:tx>
            <c:strRef>
              <c:f>Dashboard!$A$25</c:f>
              <c:strCache>
                <c:ptCount val="1"/>
                <c:pt idx="0">
                  <c:v>Estimated number of persons in relative poverty</c:v>
                </c:pt>
              </c:strCache>
            </c:strRef>
          </c:tx>
          <c:spPr>
            <a:ln>
              <a:prstDash val="solid"/>
            </a:ln>
          </c:spPr>
          <c:marker>
            <c:symbol val="none"/>
          </c:marker>
          <c:cat>
            <c:strRef>
              <c:f>Dashboard!$B$23:$F$23</c:f>
              <c:strCache>
                <c:ptCount val="5"/>
                <c:pt idx="0">
                  <c:v>1996/97</c:v>
                </c:pt>
                <c:pt idx="1">
                  <c:v>2001/02</c:v>
                </c:pt>
                <c:pt idx="2">
                  <c:v>2006/07</c:v>
                </c:pt>
                <c:pt idx="3">
                  <c:v>2012.0</c:v>
                </c:pt>
                <c:pt idx="4">
                  <c:v>2017</c:v>
                </c:pt>
              </c:strCache>
            </c:strRef>
          </c:cat>
          <c:val>
            <c:numRef>
              <c:f>Dashboard!$B$25:$F$25</c:f>
              <c:numCache>
                <c:formatCode>General</c:formatCode>
                <c:ptCount val="5"/>
                <c:pt idx="0">
                  <c:v>92700</c:v>
                </c:pt>
                <c:pt idx="1">
                  <c:v>93800</c:v>
                </c:pt>
                <c:pt idx="2">
                  <c:v>105200</c:v>
                </c:pt>
                <c:pt idx="3">
                  <c:v>122700</c:v>
                </c:pt>
                <c:pt idx="4">
                  <c:v>130500</c:v>
                </c:pt>
              </c:numCache>
            </c:numRef>
          </c:val>
          <c:smooth val="0"/>
          <c:extLst>
            <c:ext xmlns:c16="http://schemas.microsoft.com/office/drawing/2014/chart" uri="{C3380CC4-5D6E-409C-BE32-E72D297353CC}">
              <c16:uniqueId val="{00000001-1C6B-4C74-9DFE-5A1245B6373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TickMark val="none"/>
        <c:minorTickMark val="none"/>
        <c:tickLblPos val="nextTo"/>
        <c:crossAx val="48650112"/>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Poverty rates</a:t>
            </a:r>
          </a:p>
        </c:rich>
      </c:tx>
      <c:overlay val="0"/>
    </c:title>
    <c:autoTitleDeleted val="0"/>
    <c:plotArea>
      <c:layout/>
      <c:lineChart>
        <c:grouping val="standard"/>
        <c:varyColors val="0"/>
        <c:ser>
          <c:idx val="0"/>
          <c:order val="0"/>
          <c:tx>
            <c:strRef>
              <c:f>Dashboard!$A$43</c:f>
              <c:strCache>
                <c:ptCount val="1"/>
                <c:pt idx="0">
                  <c:v>Proportion of households in relative poverty (%)</c:v>
                </c:pt>
              </c:strCache>
            </c:strRef>
          </c:tx>
          <c:spPr>
            <a:ln>
              <a:prstDash val="solid"/>
            </a:ln>
          </c:spPr>
          <c:marker>
            <c:symbol val="none"/>
          </c:marker>
          <c:cat>
            <c:strRef>
              <c:f>Dashboard!$B$42:$F$42</c:f>
              <c:strCache>
                <c:ptCount val="5"/>
                <c:pt idx="0">
                  <c:v>1996/97</c:v>
                </c:pt>
                <c:pt idx="1">
                  <c:v>2001/02</c:v>
                </c:pt>
                <c:pt idx="2">
                  <c:v>2006/07</c:v>
                </c:pt>
                <c:pt idx="3">
                  <c:v>2012.0</c:v>
                </c:pt>
                <c:pt idx="4">
                  <c:v>2017</c:v>
                </c:pt>
              </c:strCache>
            </c:strRef>
          </c:cat>
          <c:val>
            <c:numRef>
              <c:f>Dashboard!$B$43:$F$43</c:f>
              <c:numCache>
                <c:formatCode>General</c:formatCode>
                <c:ptCount val="5"/>
                <c:pt idx="0">
                  <c:v>8.6999999999999993</c:v>
                </c:pt>
                <c:pt idx="1">
                  <c:v>7.7</c:v>
                </c:pt>
                <c:pt idx="2">
                  <c:v>7.9</c:v>
                </c:pt>
                <c:pt idx="3">
                  <c:v>9.4</c:v>
                </c:pt>
                <c:pt idx="4">
                  <c:v>9.4</c:v>
                </c:pt>
              </c:numCache>
            </c:numRef>
          </c:val>
          <c:smooth val="0"/>
          <c:extLst>
            <c:ext xmlns:c16="http://schemas.microsoft.com/office/drawing/2014/chart" uri="{C3380CC4-5D6E-409C-BE32-E72D297353CC}">
              <c16:uniqueId val="{00000000-ED95-4F20-B478-089048150C7B}"/>
            </c:ext>
          </c:extLst>
        </c:ser>
        <c:ser>
          <c:idx val="1"/>
          <c:order val="1"/>
          <c:tx>
            <c:strRef>
              <c:f>Dashboard!$A$44</c:f>
              <c:strCache>
                <c:ptCount val="1"/>
                <c:pt idx="0">
                  <c:v>Proportion of persons in relative poverty (%)</c:v>
                </c:pt>
              </c:strCache>
            </c:strRef>
          </c:tx>
          <c:spPr>
            <a:ln>
              <a:prstDash val="solid"/>
            </a:ln>
          </c:spPr>
          <c:marker>
            <c:symbol val="none"/>
          </c:marker>
          <c:cat>
            <c:strRef>
              <c:f>Dashboard!$B$42:$F$42</c:f>
              <c:strCache>
                <c:ptCount val="5"/>
                <c:pt idx="0">
                  <c:v>1996/97</c:v>
                </c:pt>
                <c:pt idx="1">
                  <c:v>2001/02</c:v>
                </c:pt>
                <c:pt idx="2">
                  <c:v>2006/07</c:v>
                </c:pt>
                <c:pt idx="3">
                  <c:v>2012.0</c:v>
                </c:pt>
                <c:pt idx="4">
                  <c:v>2017</c:v>
                </c:pt>
              </c:strCache>
            </c:strRef>
          </c:cat>
          <c:val>
            <c:numRef>
              <c:f>Dashboard!$B$44:$F$44</c:f>
              <c:numCache>
                <c:formatCode>General</c:formatCode>
                <c:ptCount val="5"/>
                <c:pt idx="0">
                  <c:v>8.1999999999999993</c:v>
                </c:pt>
                <c:pt idx="1">
                  <c:v>7.8</c:v>
                </c:pt>
                <c:pt idx="2">
                  <c:v>8.5</c:v>
                </c:pt>
                <c:pt idx="3">
                  <c:v>9.8000000000000007</c:v>
                </c:pt>
                <c:pt idx="4">
                  <c:v>10.3</c:v>
                </c:pt>
              </c:numCache>
            </c:numRef>
          </c:val>
          <c:smooth val="0"/>
          <c:extLst>
            <c:ext xmlns:c16="http://schemas.microsoft.com/office/drawing/2014/chart" uri="{C3380CC4-5D6E-409C-BE32-E72D297353CC}">
              <c16:uniqueId val="{00000001-ED95-4F20-B478-089048150C7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TickMark val="none"/>
        <c:minorTickMark val="none"/>
        <c:tickLblPos val="nextTo"/>
        <c:crossAx val="48650112"/>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Gap indicators</a:t>
            </a:r>
          </a:p>
        </c:rich>
      </c:tx>
      <c:overlay val="0"/>
    </c:title>
    <c:autoTitleDeleted val="0"/>
    <c:plotArea>
      <c:layout>
        <c:manualLayout>
          <c:layoutTarget val="inner"/>
          <c:xMode val="edge"/>
          <c:yMode val="edge"/>
          <c:x val="8.9252755905511794E-2"/>
          <c:y val="1.1761851197171783E-2"/>
          <c:w val="0.91074724409448815"/>
          <c:h val="0.90694338207724035"/>
        </c:manualLayout>
      </c:layout>
      <c:lineChart>
        <c:grouping val="standard"/>
        <c:varyColors val="0"/>
        <c:ser>
          <c:idx val="0"/>
          <c:order val="0"/>
          <c:tx>
            <c:strRef>
              <c:f>Dashboard!$A$62</c:f>
              <c:strCache>
                <c:ptCount val="1"/>
                <c:pt idx="0">
                  <c:v>Income gap ratio (%)</c:v>
                </c:pt>
              </c:strCache>
            </c:strRef>
          </c:tx>
          <c:spPr>
            <a:ln>
              <a:prstDash val="solid"/>
            </a:ln>
          </c:spPr>
          <c:marker>
            <c:symbol val="none"/>
          </c:marker>
          <c:cat>
            <c:strRef>
              <c:f>Dashboard!$B$61:$F$61</c:f>
              <c:strCache>
                <c:ptCount val="5"/>
                <c:pt idx="0">
                  <c:v>1996/97</c:v>
                </c:pt>
                <c:pt idx="1">
                  <c:v>2001/02</c:v>
                </c:pt>
                <c:pt idx="2">
                  <c:v>2006/07</c:v>
                </c:pt>
                <c:pt idx="3">
                  <c:v>2012.0</c:v>
                </c:pt>
                <c:pt idx="4">
                  <c:v>2017</c:v>
                </c:pt>
              </c:strCache>
            </c:strRef>
          </c:cat>
          <c:val>
            <c:numRef>
              <c:f>Dashboard!$B$62:$F$62</c:f>
              <c:numCache>
                <c:formatCode>General</c:formatCode>
                <c:ptCount val="5"/>
                <c:pt idx="0">
                  <c:v>21</c:v>
                </c:pt>
                <c:pt idx="1">
                  <c:v>22.6</c:v>
                </c:pt>
                <c:pt idx="2">
                  <c:v>21.9</c:v>
                </c:pt>
                <c:pt idx="3">
                  <c:v>24</c:v>
                </c:pt>
                <c:pt idx="4">
                  <c:v>23.8</c:v>
                </c:pt>
              </c:numCache>
            </c:numRef>
          </c:val>
          <c:smooth val="0"/>
          <c:extLst>
            <c:ext xmlns:c16="http://schemas.microsoft.com/office/drawing/2014/chart" uri="{C3380CC4-5D6E-409C-BE32-E72D297353CC}">
              <c16:uniqueId val="{00000000-A6DF-4592-A60D-A773FC25526A}"/>
            </c:ext>
          </c:extLst>
        </c:ser>
        <c:ser>
          <c:idx val="1"/>
          <c:order val="1"/>
          <c:tx>
            <c:strRef>
              <c:f>Dashboard!$A$63</c:f>
              <c:strCache>
                <c:ptCount val="1"/>
                <c:pt idx="0">
                  <c:v>Poverty gap ratio (%)</c:v>
                </c:pt>
              </c:strCache>
            </c:strRef>
          </c:tx>
          <c:spPr>
            <a:ln>
              <a:prstDash val="solid"/>
            </a:ln>
          </c:spPr>
          <c:marker>
            <c:symbol val="none"/>
          </c:marker>
          <c:cat>
            <c:strRef>
              <c:f>Dashboard!$B$61:$F$61</c:f>
              <c:strCache>
                <c:ptCount val="5"/>
                <c:pt idx="0">
                  <c:v>1996/97</c:v>
                </c:pt>
                <c:pt idx="1">
                  <c:v>2001/02</c:v>
                </c:pt>
                <c:pt idx="2">
                  <c:v>2006/07</c:v>
                </c:pt>
                <c:pt idx="3">
                  <c:v>2012.0</c:v>
                </c:pt>
                <c:pt idx="4">
                  <c:v>2017</c:v>
                </c:pt>
              </c:strCache>
            </c:strRef>
          </c:cat>
          <c:val>
            <c:numRef>
              <c:f>Dashboard!$B$63:$F$63</c:f>
              <c:numCache>
                <c:formatCode>General</c:formatCode>
                <c:ptCount val="5"/>
                <c:pt idx="0">
                  <c:v>1.7</c:v>
                </c:pt>
                <c:pt idx="1">
                  <c:v>1.8</c:v>
                </c:pt>
                <c:pt idx="2">
                  <c:v>1.9</c:v>
                </c:pt>
                <c:pt idx="3">
                  <c:v>2.2999999999999998</c:v>
                </c:pt>
                <c:pt idx="4">
                  <c:v>2.4</c:v>
                </c:pt>
              </c:numCache>
            </c:numRef>
          </c:val>
          <c:smooth val="0"/>
          <c:extLst>
            <c:ext xmlns:c16="http://schemas.microsoft.com/office/drawing/2014/chart" uri="{C3380CC4-5D6E-409C-BE32-E72D297353CC}">
              <c16:uniqueId val="{00000001-A6DF-4592-A60D-A773FC25526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TickMark val="none"/>
        <c:minorTickMark val="none"/>
        <c:tickLblPos val="nextTo"/>
        <c:crossAx val="48650112"/>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495300</xdr:colOff>
      <xdr:row>7</xdr:row>
      <xdr:rowOff>19050</xdr:rowOff>
    </xdr:from>
    <xdr:to>
      <xdr:col>19</xdr:col>
      <xdr:colOff>38100</xdr:colOff>
      <xdr:row>15</xdr:row>
      <xdr:rowOff>19050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428625</xdr:colOff>
      <xdr:row>8</xdr:row>
      <xdr:rowOff>47625</xdr:rowOff>
    </xdr:from>
    <xdr:to>
      <xdr:col>33</xdr:col>
      <xdr:colOff>581025</xdr:colOff>
      <xdr:row>19</xdr:row>
      <xdr:rowOff>47625</xdr:rowOff>
    </xdr:to>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542925</xdr:colOff>
      <xdr:row>16</xdr:row>
      <xdr:rowOff>161925</xdr:rowOff>
    </xdr:from>
    <xdr:to>
      <xdr:col>19</xdr:col>
      <xdr:colOff>85725</xdr:colOff>
      <xdr:row>46</xdr:row>
      <xdr:rowOff>161925</xdr:rowOff>
    </xdr:to>
    <xdr:graphicFrame macro="">
      <xdr:nvGraphicFramePr>
        <xdr:cNvPr id="4" nam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523875</xdr:colOff>
      <xdr:row>7</xdr:row>
      <xdr:rowOff>47625</xdr:rowOff>
    </xdr:from>
    <xdr:to>
      <xdr:col>27</xdr:col>
      <xdr:colOff>66675</xdr:colOff>
      <xdr:row>56</xdr:row>
      <xdr:rowOff>47625</xdr:rowOff>
    </xdr:to>
    <xdr:graphicFrame macro="">
      <xdr:nvGraphicFramePr>
        <xdr:cNvPr id="5" name="Chart">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723900</xdr:colOff>
      <xdr:row>24</xdr:row>
      <xdr:rowOff>133350</xdr:rowOff>
    </xdr:to>
    <xdr:sp macro="" textlink="">
      <xdr:nvSpPr>
        <xdr:cNvPr id="2053" name="Text Box 5" hidden="1">
          <a:extLst>
            <a:ext uri="{FF2B5EF4-FFF2-40B4-BE49-F238E27FC236}">
              <a16:creationId xmlns:a16="http://schemas.microsoft.com/office/drawing/2014/main" id="{4142B825-46B0-2528-5085-793B69B9C2F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showGridLines="0" workbookViewId="0">
      <selection sqref="A1:F1"/>
    </sheetView>
  </sheetViews>
  <sheetFormatPr defaultRowHeight="15" x14ac:dyDescent="0.25"/>
  <cols>
    <col min="1" max="1" width="28" customWidth="1"/>
    <col min="2" max="2" width="45" customWidth="1"/>
    <col min="3" max="3" width="55" customWidth="1"/>
    <col min="4" max="4" width="14" customWidth="1"/>
    <col min="5" max="5" width="12" customWidth="1"/>
    <col min="6" max="6" width="36" customWidth="1"/>
  </cols>
  <sheetData>
    <row r="1" spans="1:6" ht="21" x14ac:dyDescent="0.35">
      <c r="A1" s="52" t="s">
        <v>0</v>
      </c>
      <c r="B1" s="51"/>
      <c r="C1" s="51"/>
      <c r="D1" s="51"/>
      <c r="E1" s="51"/>
      <c r="F1" s="51"/>
    </row>
    <row r="3" spans="1:6" ht="30" x14ac:dyDescent="0.25">
      <c r="A3" s="1" t="s">
        <v>1</v>
      </c>
      <c r="B3" s="2" t="s">
        <v>2</v>
      </c>
    </row>
    <row r="4" spans="1:6" ht="45" x14ac:dyDescent="0.25">
      <c r="A4" s="1" t="s">
        <v>3</v>
      </c>
      <c r="B4" s="2" t="s">
        <v>4</v>
      </c>
    </row>
    <row r="5" spans="1:6" x14ac:dyDescent="0.25">
      <c r="A5" s="1" t="s">
        <v>5</v>
      </c>
      <c r="B5" s="2" t="s">
        <v>6</v>
      </c>
    </row>
    <row r="6" spans="1:6" x14ac:dyDescent="0.25">
      <c r="A6" s="1" t="s">
        <v>7</v>
      </c>
      <c r="B6" s="2">
        <v>8</v>
      </c>
    </row>
    <row r="7" spans="1:6" x14ac:dyDescent="0.25">
      <c r="A7" s="1" t="s">
        <v>8</v>
      </c>
      <c r="B7" s="2">
        <v>5</v>
      </c>
    </row>
    <row r="8" spans="1:6" x14ac:dyDescent="0.25">
      <c r="A8" s="1" t="s">
        <v>9</v>
      </c>
      <c r="B8" s="2">
        <v>40</v>
      </c>
    </row>
    <row r="9" spans="1:6" x14ac:dyDescent="0.25">
      <c r="A9" s="1" t="s">
        <v>10</v>
      </c>
      <c r="B9" s="2">
        <v>21</v>
      </c>
    </row>
    <row r="10" spans="1:6" ht="30" x14ac:dyDescent="0.25">
      <c r="A10" s="1" t="s">
        <v>11</v>
      </c>
      <c r="B10" s="2" t="s">
        <v>12</v>
      </c>
    </row>
    <row r="11" spans="1:6" ht="30" x14ac:dyDescent="0.25">
      <c r="A11" s="1" t="s">
        <v>13</v>
      </c>
      <c r="B11" s="2" t="s">
        <v>14</v>
      </c>
    </row>
    <row r="14" spans="1:6" x14ac:dyDescent="0.25">
      <c r="A14" s="50" t="s">
        <v>15</v>
      </c>
      <c r="B14" s="51"/>
      <c r="C14" s="51"/>
      <c r="D14" s="51"/>
      <c r="E14" s="51"/>
      <c r="F14" s="51"/>
    </row>
    <row r="15" spans="1:6" ht="30" x14ac:dyDescent="0.25">
      <c r="A15" s="3" t="s">
        <v>16</v>
      </c>
      <c r="B15" s="3" t="s">
        <v>17</v>
      </c>
      <c r="C15" s="3" t="s">
        <v>18</v>
      </c>
      <c r="D15" s="3" t="s">
        <v>19</v>
      </c>
      <c r="E15" s="3" t="s">
        <v>20</v>
      </c>
      <c r="F15" s="3" t="s">
        <v>21</v>
      </c>
    </row>
    <row r="16" spans="1:6" x14ac:dyDescent="0.25">
      <c r="A16" t="s">
        <v>22</v>
      </c>
      <c r="B16" s="4">
        <v>2004</v>
      </c>
      <c r="C16" s="4">
        <v>7497</v>
      </c>
      <c r="D16" s="5">
        <f>C16-B16</f>
        <v>5493</v>
      </c>
      <c r="E16" s="6">
        <f>IFERROR(C16/B16-1,"")</f>
        <v>2.7410179640718564</v>
      </c>
      <c r="F16" t="s">
        <v>23</v>
      </c>
    </row>
    <row r="17" spans="1:6" x14ac:dyDescent="0.25">
      <c r="A17" t="s">
        <v>24</v>
      </c>
      <c r="B17" s="4">
        <v>92700</v>
      </c>
      <c r="C17" s="4">
        <v>130500</v>
      </c>
      <c r="D17" s="5">
        <f>C17-B17</f>
        <v>37800</v>
      </c>
      <c r="E17" s="6">
        <f>IFERROR(C17/B17-1,"")</f>
        <v>0.40776699029126218</v>
      </c>
      <c r="F17" t="s">
        <v>25</v>
      </c>
    </row>
    <row r="18" spans="1:6" x14ac:dyDescent="0.25">
      <c r="A18" t="s">
        <v>26</v>
      </c>
      <c r="B18" s="4">
        <v>8.1999999999999993</v>
      </c>
      <c r="C18" s="4">
        <v>10.3</v>
      </c>
      <c r="D18" s="5">
        <f>C18-B18</f>
        <v>2.1000000000000014</v>
      </c>
      <c r="E18" s="6">
        <f>IFERROR(C18/B18-1,"")</f>
        <v>0.25609756097560998</v>
      </c>
      <c r="F18" t="s">
        <v>27</v>
      </c>
    </row>
    <row r="19" spans="1:6" x14ac:dyDescent="0.25">
      <c r="A19" t="s">
        <v>28</v>
      </c>
      <c r="B19" s="4">
        <v>300</v>
      </c>
      <c r="C19" s="4">
        <v>1900</v>
      </c>
      <c r="D19" s="5">
        <f>C19-B19</f>
        <v>1600</v>
      </c>
      <c r="E19" s="6">
        <f>IFERROR(C19/B19-1,"")</f>
        <v>5.333333333333333</v>
      </c>
      <c r="F19" t="s">
        <v>29</v>
      </c>
    </row>
    <row r="22" spans="1:6" x14ac:dyDescent="0.25">
      <c r="A22" s="50" t="s">
        <v>30</v>
      </c>
      <c r="B22" s="51"/>
      <c r="C22" s="51"/>
    </row>
    <row r="23" spans="1:6" x14ac:dyDescent="0.25">
      <c r="A23" s="3" t="s">
        <v>31</v>
      </c>
      <c r="B23" s="3" t="s">
        <v>32</v>
      </c>
      <c r="C23" s="3" t="s">
        <v>33</v>
      </c>
    </row>
    <row r="24" spans="1:6" ht="30" x14ac:dyDescent="0.25">
      <c r="A24" s="2" t="s">
        <v>34</v>
      </c>
      <c r="B24" s="2" t="s">
        <v>35</v>
      </c>
      <c r="C24" s="2" t="s">
        <v>36</v>
      </c>
    </row>
    <row r="25" spans="1:6" ht="30" x14ac:dyDescent="0.25">
      <c r="A25" s="2" t="s">
        <v>37</v>
      </c>
      <c r="B25" s="2" t="s">
        <v>38</v>
      </c>
      <c r="C25" s="2" t="s">
        <v>39</v>
      </c>
    </row>
    <row r="26" spans="1:6" x14ac:dyDescent="0.25">
      <c r="A26" s="2" t="s">
        <v>40</v>
      </c>
      <c r="B26" s="2" t="s">
        <v>41</v>
      </c>
      <c r="C26" s="2" t="s">
        <v>42</v>
      </c>
    </row>
    <row r="27" spans="1:6" x14ac:dyDescent="0.25">
      <c r="A27" s="2" t="s">
        <v>43</v>
      </c>
      <c r="B27" s="2" t="s">
        <v>44</v>
      </c>
      <c r="C27" s="2" t="s">
        <v>45</v>
      </c>
    </row>
    <row r="28" spans="1:6" x14ac:dyDescent="0.25">
      <c r="A28" s="2" t="s">
        <v>46</v>
      </c>
      <c r="B28" s="2" t="s">
        <v>47</v>
      </c>
      <c r="C28" s="2" t="s">
        <v>48</v>
      </c>
    </row>
    <row r="29" spans="1:6" x14ac:dyDescent="0.25">
      <c r="A29" s="2" t="s">
        <v>49</v>
      </c>
      <c r="B29" s="2" t="s">
        <v>50</v>
      </c>
      <c r="C29" s="2" t="s">
        <v>51</v>
      </c>
    </row>
    <row r="30" spans="1:6" x14ac:dyDescent="0.25">
      <c r="A30" s="2" t="s">
        <v>52</v>
      </c>
      <c r="B30" s="2" t="s">
        <v>53</v>
      </c>
      <c r="C30" s="2" t="s">
        <v>54</v>
      </c>
    </row>
    <row r="31" spans="1:6" x14ac:dyDescent="0.25">
      <c r="A31" s="2" t="s">
        <v>55</v>
      </c>
      <c r="B31" s="2" t="s">
        <v>56</v>
      </c>
      <c r="C31" s="2" t="s">
        <v>57</v>
      </c>
    </row>
    <row r="32" spans="1:6" x14ac:dyDescent="0.25">
      <c r="A32" s="2" t="s">
        <v>58</v>
      </c>
      <c r="B32" s="2" t="s">
        <v>56</v>
      </c>
      <c r="C32" s="2" t="s">
        <v>59</v>
      </c>
    </row>
  </sheetData>
  <mergeCells count="3">
    <mergeCell ref="A14:F14"/>
    <mergeCell ref="A1:F1"/>
    <mergeCell ref="A22:C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1"/>
  <sheetViews>
    <sheetView showGridLines="0" workbookViewId="0">
      <selection sqref="A1:S1"/>
    </sheetView>
  </sheetViews>
  <sheetFormatPr defaultRowHeight="15" x14ac:dyDescent="0.25"/>
  <cols>
    <col min="1" max="1" width="10" customWidth="1"/>
    <col min="2" max="2" width="44" customWidth="1"/>
    <col min="3" max="3" width="18" customWidth="1"/>
    <col min="4" max="4" width="24" customWidth="1"/>
    <col min="5" max="7" width="12" customWidth="1"/>
    <col min="8" max="9" width="10" customWidth="1"/>
    <col min="10" max="11" width="12" customWidth="1"/>
    <col min="12" max="12" width="14" customWidth="1"/>
    <col min="13" max="13" width="11" customWidth="1"/>
    <col min="14" max="14" width="10" customWidth="1"/>
    <col min="15" max="18" width="12" customWidth="1"/>
    <col min="19" max="19" width="28" customWidth="1"/>
  </cols>
  <sheetData>
    <row r="1" spans="1:19" ht="19.5" x14ac:dyDescent="0.3">
      <c r="A1" s="53" t="s">
        <v>60</v>
      </c>
      <c r="B1" s="51"/>
      <c r="C1" s="51"/>
      <c r="D1" s="51"/>
      <c r="E1" s="51"/>
      <c r="F1" s="51"/>
      <c r="G1" s="51"/>
      <c r="H1" s="51"/>
      <c r="I1" s="51"/>
      <c r="J1" s="51"/>
      <c r="K1" s="51"/>
      <c r="L1" s="51"/>
      <c r="M1" s="51"/>
      <c r="N1" s="51"/>
      <c r="O1" s="51"/>
      <c r="P1" s="51"/>
      <c r="Q1" s="51"/>
      <c r="R1" s="51"/>
      <c r="S1" s="51"/>
    </row>
    <row r="2" spans="1:19" ht="30" x14ac:dyDescent="0.25">
      <c r="A2" s="3" t="s">
        <v>61</v>
      </c>
      <c r="B2" s="3" t="s">
        <v>16</v>
      </c>
      <c r="C2" s="3" t="s">
        <v>62</v>
      </c>
      <c r="D2" s="3" t="s">
        <v>63</v>
      </c>
      <c r="E2" s="3" t="s">
        <v>17</v>
      </c>
      <c r="F2" s="3" t="s">
        <v>64</v>
      </c>
      <c r="G2" s="3" t="s">
        <v>65</v>
      </c>
      <c r="H2" s="3" t="s">
        <v>66</v>
      </c>
      <c r="I2" s="3" t="s">
        <v>18</v>
      </c>
      <c r="J2" s="3" t="s">
        <v>67</v>
      </c>
      <c r="K2" s="3" t="s">
        <v>68</v>
      </c>
      <c r="L2" s="3" t="s">
        <v>19</v>
      </c>
      <c r="M2" s="3" t="s">
        <v>20</v>
      </c>
      <c r="N2" s="3" t="s">
        <v>69</v>
      </c>
      <c r="O2" s="3" t="s">
        <v>70</v>
      </c>
      <c r="P2" s="3" t="s">
        <v>71</v>
      </c>
      <c r="Q2" s="3" t="s">
        <v>72</v>
      </c>
      <c r="R2" s="3" t="s">
        <v>73</v>
      </c>
      <c r="S2" s="3" t="s">
        <v>74</v>
      </c>
    </row>
    <row r="3" spans="1:19" hidden="1" x14ac:dyDescent="0.25">
      <c r="E3">
        <v>1997</v>
      </c>
      <c r="F3">
        <v>2002</v>
      </c>
      <c r="G3">
        <v>2007</v>
      </c>
      <c r="H3">
        <v>2012</v>
      </c>
      <c r="I3">
        <v>2017</v>
      </c>
    </row>
    <row r="4" spans="1:19" ht="30" x14ac:dyDescent="0.25">
      <c r="A4" s="7" t="s">
        <v>75</v>
      </c>
      <c r="B4" s="7" t="s">
        <v>22</v>
      </c>
      <c r="C4" s="7" t="s">
        <v>76</v>
      </c>
      <c r="D4" s="7" t="s">
        <v>77</v>
      </c>
      <c r="E4" s="8">
        <v>2004</v>
      </c>
      <c r="F4" s="8">
        <v>2804</v>
      </c>
      <c r="G4" s="8">
        <v>3821</v>
      </c>
      <c r="H4" s="8">
        <v>5652</v>
      </c>
      <c r="I4" s="8">
        <v>7497</v>
      </c>
      <c r="J4" s="9">
        <f t="shared" ref="J4:J11" si="0">E4</f>
        <v>2004</v>
      </c>
      <c r="K4" s="9">
        <f t="shared" ref="K4:K11" si="1">I4</f>
        <v>7497</v>
      </c>
      <c r="L4" s="9">
        <f t="shared" ref="L4:L11" si="2">K4-J4</f>
        <v>5493</v>
      </c>
      <c r="M4" s="10">
        <f t="shared" ref="M4:M11" si="3">IFERROR(K4/J4-1,"")</f>
        <v>2.7410179640718564</v>
      </c>
      <c r="N4" s="10">
        <f t="shared" ref="N4:N11" si="4">IFERROR((K4/J4)^(1/($I$3-$E$3))-1,"")</f>
        <v>6.8192414676116586E-2</v>
      </c>
      <c r="O4" s="9">
        <f t="shared" ref="O4:O11" si="5">MIN(E4:I4)</f>
        <v>2004</v>
      </c>
      <c r="P4" s="9" t="str">
        <f t="shared" ref="P4:P11" si="6">INDEX($E$2:$I$2,1,MATCH(O4,E4:I4,0))</f>
        <v>1996/97</v>
      </c>
      <c r="Q4" s="9">
        <f t="shared" ref="Q4:Q11" si="7">MAX(E4:I4)</f>
        <v>7497</v>
      </c>
      <c r="R4" s="9" t="str">
        <f t="shared" ref="R4:R11" si="8">INDEX($E$2:$I$2,1,MATCH(Q4,E4:I4,0))</f>
        <v>2017</v>
      </c>
      <c r="S4" s="7" t="s">
        <v>78</v>
      </c>
    </row>
    <row r="5" spans="1:19" ht="30" x14ac:dyDescent="0.25">
      <c r="A5" s="7" t="s">
        <v>79</v>
      </c>
      <c r="B5" s="7" t="s">
        <v>80</v>
      </c>
      <c r="C5" s="7" t="s">
        <v>81</v>
      </c>
      <c r="D5" s="7" t="s">
        <v>82</v>
      </c>
      <c r="E5" s="8">
        <v>23800</v>
      </c>
      <c r="F5" s="8">
        <v>23700</v>
      </c>
      <c r="G5" s="8">
        <v>26100</v>
      </c>
      <c r="H5" s="8">
        <v>33600</v>
      </c>
      <c r="I5" s="8">
        <v>36100</v>
      </c>
      <c r="J5" s="9">
        <f t="shared" si="0"/>
        <v>23800</v>
      </c>
      <c r="K5" s="9">
        <f t="shared" si="1"/>
        <v>36100</v>
      </c>
      <c r="L5" s="9">
        <f t="shared" si="2"/>
        <v>12300</v>
      </c>
      <c r="M5" s="10">
        <f t="shared" si="3"/>
        <v>0.51680672268907557</v>
      </c>
      <c r="N5" s="10">
        <f t="shared" si="4"/>
        <v>2.1048830544255548E-2</v>
      </c>
      <c r="O5" s="9">
        <f t="shared" si="5"/>
        <v>23700</v>
      </c>
      <c r="P5" s="9" t="str">
        <f t="shared" si="6"/>
        <v>2001/02</v>
      </c>
      <c r="Q5" s="9">
        <f t="shared" si="7"/>
        <v>36100</v>
      </c>
      <c r="R5" s="9" t="str">
        <f t="shared" si="8"/>
        <v>2017</v>
      </c>
      <c r="S5" s="7" t="s">
        <v>83</v>
      </c>
    </row>
    <row r="6" spans="1:19" ht="30" x14ac:dyDescent="0.25">
      <c r="A6" s="7" t="s">
        <v>84</v>
      </c>
      <c r="B6" s="7" t="s">
        <v>85</v>
      </c>
      <c r="C6" s="7" t="s">
        <v>86</v>
      </c>
      <c r="D6" s="7" t="s">
        <v>87</v>
      </c>
      <c r="E6" s="11">
        <v>8.6999999999999993</v>
      </c>
      <c r="F6" s="11">
        <v>7.7</v>
      </c>
      <c r="G6" s="11">
        <v>7.9</v>
      </c>
      <c r="H6" s="11">
        <v>9.4</v>
      </c>
      <c r="I6" s="11">
        <v>9.4</v>
      </c>
      <c r="J6" s="12">
        <f t="shared" si="0"/>
        <v>8.6999999999999993</v>
      </c>
      <c r="K6" s="12">
        <f t="shared" si="1"/>
        <v>9.4</v>
      </c>
      <c r="L6" s="12">
        <f t="shared" si="2"/>
        <v>0.70000000000000107</v>
      </c>
      <c r="M6" s="10">
        <f t="shared" si="3"/>
        <v>8.0459770114942764E-2</v>
      </c>
      <c r="N6" s="10">
        <f t="shared" si="4"/>
        <v>3.8768287148578384E-3</v>
      </c>
      <c r="O6" s="12">
        <f t="shared" si="5"/>
        <v>7.7</v>
      </c>
      <c r="P6" s="9" t="str">
        <f t="shared" si="6"/>
        <v>2001/02</v>
      </c>
      <c r="Q6" s="12">
        <f t="shared" si="7"/>
        <v>9.4</v>
      </c>
      <c r="R6" s="9" t="str">
        <f t="shared" si="8"/>
        <v>2012</v>
      </c>
      <c r="S6" s="7" t="s">
        <v>83</v>
      </c>
    </row>
    <row r="7" spans="1:19" ht="30" x14ac:dyDescent="0.25">
      <c r="A7" s="7" t="s">
        <v>88</v>
      </c>
      <c r="B7" s="7" t="s">
        <v>24</v>
      </c>
      <c r="C7" s="7" t="s">
        <v>81</v>
      </c>
      <c r="D7" s="7" t="s">
        <v>89</v>
      </c>
      <c r="E7" s="8">
        <v>92700</v>
      </c>
      <c r="F7" s="8">
        <v>93800</v>
      </c>
      <c r="G7" s="8">
        <v>105200</v>
      </c>
      <c r="H7" s="8">
        <v>122700</v>
      </c>
      <c r="I7" s="8">
        <v>130500</v>
      </c>
      <c r="J7" s="9">
        <f t="shared" si="0"/>
        <v>92700</v>
      </c>
      <c r="K7" s="9">
        <f t="shared" si="1"/>
        <v>130500</v>
      </c>
      <c r="L7" s="9">
        <f t="shared" si="2"/>
        <v>37800</v>
      </c>
      <c r="M7" s="10">
        <f t="shared" si="3"/>
        <v>0.40776699029126218</v>
      </c>
      <c r="N7" s="10">
        <f t="shared" si="4"/>
        <v>1.7247283752731546E-2</v>
      </c>
      <c r="O7" s="9">
        <f t="shared" si="5"/>
        <v>92700</v>
      </c>
      <c r="P7" s="9" t="str">
        <f t="shared" si="6"/>
        <v>1996/97</v>
      </c>
      <c r="Q7" s="9">
        <f t="shared" si="7"/>
        <v>130500</v>
      </c>
      <c r="R7" s="9" t="str">
        <f t="shared" si="8"/>
        <v>2017</v>
      </c>
      <c r="S7" s="7" t="s">
        <v>83</v>
      </c>
    </row>
    <row r="8" spans="1:19" ht="30" x14ac:dyDescent="0.25">
      <c r="A8" s="7" t="s">
        <v>90</v>
      </c>
      <c r="B8" s="7" t="s">
        <v>26</v>
      </c>
      <c r="C8" s="7" t="s">
        <v>86</v>
      </c>
      <c r="D8" s="7" t="s">
        <v>87</v>
      </c>
      <c r="E8" s="11">
        <v>8.1999999999999993</v>
      </c>
      <c r="F8" s="11">
        <v>7.8</v>
      </c>
      <c r="G8" s="11">
        <v>8.5</v>
      </c>
      <c r="H8" s="11">
        <v>9.8000000000000007</v>
      </c>
      <c r="I8" s="11">
        <v>10.3</v>
      </c>
      <c r="J8" s="12">
        <f t="shared" si="0"/>
        <v>8.1999999999999993</v>
      </c>
      <c r="K8" s="12">
        <f t="shared" si="1"/>
        <v>10.3</v>
      </c>
      <c r="L8" s="12">
        <f t="shared" si="2"/>
        <v>2.1000000000000014</v>
      </c>
      <c r="M8" s="10">
        <f t="shared" si="3"/>
        <v>0.25609756097560998</v>
      </c>
      <c r="N8" s="10">
        <f t="shared" si="4"/>
        <v>1.1465720261849333E-2</v>
      </c>
      <c r="O8" s="12">
        <f t="shared" si="5"/>
        <v>7.8</v>
      </c>
      <c r="P8" s="9" t="str">
        <f t="shared" si="6"/>
        <v>2001/02</v>
      </c>
      <c r="Q8" s="12">
        <f t="shared" si="7"/>
        <v>10.3</v>
      </c>
      <c r="R8" s="9" t="str">
        <f t="shared" si="8"/>
        <v>2017</v>
      </c>
      <c r="S8" s="7" t="s">
        <v>83</v>
      </c>
    </row>
    <row r="9" spans="1:19" x14ac:dyDescent="0.25">
      <c r="A9" s="7" t="s">
        <v>91</v>
      </c>
      <c r="B9" s="7" t="s">
        <v>92</v>
      </c>
      <c r="C9" s="7" t="s">
        <v>93</v>
      </c>
      <c r="D9" s="7" t="s">
        <v>87</v>
      </c>
      <c r="E9" s="11">
        <v>21</v>
      </c>
      <c r="F9" s="11">
        <v>22.6</v>
      </c>
      <c r="G9" s="11">
        <v>21.9</v>
      </c>
      <c r="H9" s="11">
        <v>24</v>
      </c>
      <c r="I9" s="11">
        <v>23.8</v>
      </c>
      <c r="J9" s="12">
        <f t="shared" si="0"/>
        <v>21</v>
      </c>
      <c r="K9" s="12">
        <f t="shared" si="1"/>
        <v>23.8</v>
      </c>
      <c r="L9" s="12">
        <f t="shared" si="2"/>
        <v>2.8000000000000007</v>
      </c>
      <c r="M9" s="10">
        <f t="shared" si="3"/>
        <v>0.1333333333333333</v>
      </c>
      <c r="N9" s="10">
        <f t="shared" si="4"/>
        <v>6.2777803267652921E-3</v>
      </c>
      <c r="O9" s="12">
        <f t="shared" si="5"/>
        <v>21</v>
      </c>
      <c r="P9" s="9" t="str">
        <f t="shared" si="6"/>
        <v>1996/97</v>
      </c>
      <c r="Q9" s="12">
        <f t="shared" si="7"/>
        <v>24</v>
      </c>
      <c r="R9" s="9" t="str">
        <f t="shared" si="8"/>
        <v>2012</v>
      </c>
      <c r="S9" s="7" t="s">
        <v>94</v>
      </c>
    </row>
    <row r="10" spans="1:19" x14ac:dyDescent="0.25">
      <c r="A10" s="7" t="s">
        <v>95</v>
      </c>
      <c r="B10" s="7" t="s">
        <v>96</v>
      </c>
      <c r="C10" s="7" t="s">
        <v>93</v>
      </c>
      <c r="D10" s="7" t="s">
        <v>87</v>
      </c>
      <c r="E10" s="11">
        <v>1.7</v>
      </c>
      <c r="F10" s="11">
        <v>1.8</v>
      </c>
      <c r="G10" s="11">
        <v>1.9</v>
      </c>
      <c r="H10" s="11">
        <v>2.2999999999999998</v>
      </c>
      <c r="I10" s="11">
        <v>2.4</v>
      </c>
      <c r="J10" s="12">
        <f t="shared" si="0"/>
        <v>1.7</v>
      </c>
      <c r="K10" s="12">
        <f t="shared" si="1"/>
        <v>2.4</v>
      </c>
      <c r="L10" s="12">
        <f t="shared" si="2"/>
        <v>0.7</v>
      </c>
      <c r="M10" s="10">
        <f t="shared" si="3"/>
        <v>0.41176470588235303</v>
      </c>
      <c r="N10" s="10">
        <f t="shared" si="4"/>
        <v>1.739152601714955E-2</v>
      </c>
      <c r="O10" s="12">
        <f t="shared" si="5"/>
        <v>1.7</v>
      </c>
      <c r="P10" s="9" t="str">
        <f t="shared" si="6"/>
        <v>1996/97</v>
      </c>
      <c r="Q10" s="12">
        <f t="shared" si="7"/>
        <v>2.4</v>
      </c>
      <c r="R10" s="9" t="str">
        <f t="shared" si="8"/>
        <v>2017</v>
      </c>
      <c r="S10" s="7" t="s">
        <v>97</v>
      </c>
    </row>
    <row r="11" spans="1:19" ht="30" x14ac:dyDescent="0.25">
      <c r="A11" s="7" t="s">
        <v>98</v>
      </c>
      <c r="B11" s="7" t="s">
        <v>28</v>
      </c>
      <c r="C11" s="7" t="s">
        <v>99</v>
      </c>
      <c r="D11" s="7" t="s">
        <v>100</v>
      </c>
      <c r="E11" s="8">
        <v>300</v>
      </c>
      <c r="F11" s="8">
        <v>450</v>
      </c>
      <c r="G11" s="8">
        <v>700</v>
      </c>
      <c r="H11" s="8">
        <v>1300</v>
      </c>
      <c r="I11" s="8">
        <v>1900</v>
      </c>
      <c r="J11" s="9">
        <f t="shared" si="0"/>
        <v>300</v>
      </c>
      <c r="K11" s="9">
        <f t="shared" si="1"/>
        <v>1900</v>
      </c>
      <c r="L11" s="9">
        <f t="shared" si="2"/>
        <v>1600</v>
      </c>
      <c r="M11" s="10">
        <f t="shared" si="3"/>
        <v>5.333333333333333</v>
      </c>
      <c r="N11" s="10">
        <f t="shared" si="4"/>
        <v>9.6684277537335328E-2</v>
      </c>
      <c r="O11" s="9">
        <f t="shared" si="5"/>
        <v>300</v>
      </c>
      <c r="P11" s="9" t="str">
        <f t="shared" si="6"/>
        <v>1996/97</v>
      </c>
      <c r="Q11" s="9">
        <f t="shared" si="7"/>
        <v>1900</v>
      </c>
      <c r="R11" s="9" t="str">
        <f t="shared" si="8"/>
        <v>2017</v>
      </c>
      <c r="S11" s="7" t="s">
        <v>97</v>
      </c>
    </row>
  </sheetData>
  <mergeCells count="1">
    <mergeCell ref="A1:S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2"/>
  <sheetViews>
    <sheetView showGridLines="0" workbookViewId="0">
      <selection activeCell="I4" sqref="I4"/>
    </sheetView>
  </sheetViews>
  <sheetFormatPr defaultRowHeight="15" x14ac:dyDescent="0.25"/>
  <cols>
    <col min="1" max="1" width="10" customWidth="1"/>
    <col min="2" max="2" width="40" customWidth="1"/>
    <col min="3" max="3" width="18" customWidth="1"/>
    <col min="4" max="4" width="24" customWidth="1"/>
    <col min="5" max="5" width="28" customWidth="1"/>
    <col min="6" max="6" width="12" customWidth="1"/>
    <col min="7" max="7" width="10" customWidth="1"/>
    <col min="8" max="10" width="12" customWidth="1"/>
  </cols>
  <sheetData>
    <row r="1" spans="1:10" ht="19.5" x14ac:dyDescent="0.3">
      <c r="A1" s="53" t="s">
        <v>101</v>
      </c>
      <c r="B1" s="51"/>
      <c r="C1" s="51"/>
      <c r="D1" s="51"/>
      <c r="E1" s="51"/>
      <c r="F1" s="51"/>
      <c r="G1" s="51"/>
      <c r="H1" s="51"/>
      <c r="I1" s="51"/>
      <c r="J1" s="51"/>
    </row>
    <row r="2" spans="1:10" ht="30" x14ac:dyDescent="0.25">
      <c r="A2" s="3" t="s">
        <v>61</v>
      </c>
      <c r="B2" s="3" t="s">
        <v>16</v>
      </c>
      <c r="C2" s="3" t="s">
        <v>62</v>
      </c>
      <c r="D2" s="3" t="s">
        <v>63</v>
      </c>
      <c r="E2" s="3" t="s">
        <v>102</v>
      </c>
      <c r="F2" s="3" t="s">
        <v>103</v>
      </c>
      <c r="G2" s="3" t="s">
        <v>104</v>
      </c>
      <c r="H2" s="3" t="s">
        <v>105</v>
      </c>
      <c r="I2" s="3" t="s">
        <v>106</v>
      </c>
      <c r="J2" s="3" t="s">
        <v>107</v>
      </c>
    </row>
    <row r="3" spans="1:10" ht="30" x14ac:dyDescent="0.25">
      <c r="A3" s="7" t="s">
        <v>75</v>
      </c>
      <c r="B3" s="7" t="s">
        <v>22</v>
      </c>
      <c r="C3" s="7" t="s">
        <v>76</v>
      </c>
      <c r="D3" s="7" t="s">
        <v>77</v>
      </c>
      <c r="E3" s="7" t="s">
        <v>108</v>
      </c>
      <c r="F3" s="7" t="s">
        <v>17</v>
      </c>
      <c r="G3" s="7">
        <v>2097</v>
      </c>
      <c r="H3" s="7" t="s">
        <v>109</v>
      </c>
      <c r="I3" s="7" t="s">
        <v>110</v>
      </c>
      <c r="J3" s="8">
        <v>2004</v>
      </c>
    </row>
    <row r="4" spans="1:10" ht="30" x14ac:dyDescent="0.25">
      <c r="A4" s="7" t="s">
        <v>75</v>
      </c>
      <c r="B4" s="7" t="s">
        <v>22</v>
      </c>
      <c r="C4" s="7" t="s">
        <v>76</v>
      </c>
      <c r="D4" s="7" t="s">
        <v>77</v>
      </c>
      <c r="E4" s="7" t="s">
        <v>108</v>
      </c>
      <c r="F4" s="7" t="s">
        <v>64</v>
      </c>
      <c r="G4" s="7">
        <v>2002</v>
      </c>
      <c r="H4" s="7" t="s">
        <v>109</v>
      </c>
      <c r="I4" s="7" t="s">
        <v>110</v>
      </c>
      <c r="J4" s="8">
        <v>2804</v>
      </c>
    </row>
    <row r="5" spans="1:10" ht="30" x14ac:dyDescent="0.25">
      <c r="A5" s="7" t="s">
        <v>75</v>
      </c>
      <c r="B5" s="7" t="s">
        <v>22</v>
      </c>
      <c r="C5" s="7" t="s">
        <v>76</v>
      </c>
      <c r="D5" s="7" t="s">
        <v>77</v>
      </c>
      <c r="E5" s="7" t="s">
        <v>108</v>
      </c>
      <c r="F5" s="7" t="s">
        <v>65</v>
      </c>
      <c r="G5" s="7">
        <v>2007</v>
      </c>
      <c r="H5" s="7" t="s">
        <v>109</v>
      </c>
      <c r="I5" s="7" t="s">
        <v>110</v>
      </c>
      <c r="J5" s="8">
        <v>3821</v>
      </c>
    </row>
    <row r="6" spans="1:10" ht="30" x14ac:dyDescent="0.25">
      <c r="A6" s="7" t="s">
        <v>75</v>
      </c>
      <c r="B6" s="7" t="s">
        <v>22</v>
      </c>
      <c r="C6" s="7" t="s">
        <v>76</v>
      </c>
      <c r="D6" s="7" t="s">
        <v>77</v>
      </c>
      <c r="E6" s="7" t="s">
        <v>108</v>
      </c>
      <c r="F6" s="7" t="s">
        <v>111</v>
      </c>
      <c r="G6" s="7">
        <v>2012</v>
      </c>
      <c r="H6" s="7" t="s">
        <v>109</v>
      </c>
      <c r="I6" s="7" t="s">
        <v>110</v>
      </c>
      <c r="J6" s="8">
        <v>5652</v>
      </c>
    </row>
    <row r="7" spans="1:10" ht="30" x14ac:dyDescent="0.25">
      <c r="A7" s="7" t="s">
        <v>75</v>
      </c>
      <c r="B7" s="7" t="s">
        <v>22</v>
      </c>
      <c r="C7" s="7" t="s">
        <v>76</v>
      </c>
      <c r="D7" s="7" t="s">
        <v>77</v>
      </c>
      <c r="E7" s="7" t="s">
        <v>108</v>
      </c>
      <c r="F7" s="7" t="s">
        <v>18</v>
      </c>
      <c r="G7" s="7">
        <v>2017</v>
      </c>
      <c r="H7" s="7">
        <v>1</v>
      </c>
      <c r="I7" s="7" t="s">
        <v>110</v>
      </c>
      <c r="J7" s="8">
        <v>7497</v>
      </c>
    </row>
    <row r="8" spans="1:10" ht="30" x14ac:dyDescent="0.25">
      <c r="A8" s="7" t="s">
        <v>79</v>
      </c>
      <c r="B8" s="7" t="s">
        <v>80</v>
      </c>
      <c r="C8" s="7" t="s">
        <v>81</v>
      </c>
      <c r="D8" s="7" t="s">
        <v>82</v>
      </c>
      <c r="E8" s="7" t="s">
        <v>83</v>
      </c>
      <c r="F8" s="7" t="s">
        <v>17</v>
      </c>
      <c r="G8" s="7">
        <v>2097</v>
      </c>
      <c r="H8" s="7" t="s">
        <v>109</v>
      </c>
      <c r="I8" s="7" t="s">
        <v>109</v>
      </c>
      <c r="J8" s="8">
        <v>23800</v>
      </c>
    </row>
    <row r="9" spans="1:10" ht="30" x14ac:dyDescent="0.25">
      <c r="A9" s="7" t="s">
        <v>79</v>
      </c>
      <c r="B9" s="7" t="s">
        <v>80</v>
      </c>
      <c r="C9" s="7" t="s">
        <v>81</v>
      </c>
      <c r="D9" s="7" t="s">
        <v>82</v>
      </c>
      <c r="E9" s="7" t="s">
        <v>83</v>
      </c>
      <c r="F9" s="7" t="s">
        <v>64</v>
      </c>
      <c r="G9" s="7">
        <v>2002</v>
      </c>
      <c r="H9" s="7" t="s">
        <v>109</v>
      </c>
      <c r="I9" s="7" t="s">
        <v>109</v>
      </c>
      <c r="J9" s="8">
        <v>23700</v>
      </c>
    </row>
    <row r="10" spans="1:10" ht="30" x14ac:dyDescent="0.25">
      <c r="A10" s="7" t="s">
        <v>79</v>
      </c>
      <c r="B10" s="7" t="s">
        <v>80</v>
      </c>
      <c r="C10" s="7" t="s">
        <v>81</v>
      </c>
      <c r="D10" s="7" t="s">
        <v>82</v>
      </c>
      <c r="E10" s="7" t="s">
        <v>83</v>
      </c>
      <c r="F10" s="7" t="s">
        <v>65</v>
      </c>
      <c r="G10" s="7">
        <v>2007</v>
      </c>
      <c r="H10" s="7" t="s">
        <v>109</v>
      </c>
      <c r="I10" s="7" t="s">
        <v>109</v>
      </c>
      <c r="J10" s="8">
        <v>26100</v>
      </c>
    </row>
    <row r="11" spans="1:10" ht="30" x14ac:dyDescent="0.25">
      <c r="A11" s="7" t="s">
        <v>79</v>
      </c>
      <c r="B11" s="7" t="s">
        <v>80</v>
      </c>
      <c r="C11" s="7" t="s">
        <v>81</v>
      </c>
      <c r="D11" s="7" t="s">
        <v>82</v>
      </c>
      <c r="E11" s="7" t="s">
        <v>83</v>
      </c>
      <c r="F11" s="7" t="s">
        <v>111</v>
      </c>
      <c r="G11" s="7">
        <v>2012</v>
      </c>
      <c r="H11" s="7" t="s">
        <v>109</v>
      </c>
      <c r="I11" s="7" t="s">
        <v>109</v>
      </c>
      <c r="J11" s="8">
        <v>33600</v>
      </c>
    </row>
    <row r="12" spans="1:10" ht="30" x14ac:dyDescent="0.25">
      <c r="A12" s="7" t="s">
        <v>79</v>
      </c>
      <c r="B12" s="7" t="s">
        <v>80</v>
      </c>
      <c r="C12" s="7" t="s">
        <v>81</v>
      </c>
      <c r="D12" s="7" t="s">
        <v>82</v>
      </c>
      <c r="E12" s="7" t="s">
        <v>83</v>
      </c>
      <c r="F12" s="7" t="s">
        <v>18</v>
      </c>
      <c r="G12" s="7">
        <v>2017</v>
      </c>
      <c r="H12" s="7">
        <v>1</v>
      </c>
      <c r="I12" s="7" t="s">
        <v>109</v>
      </c>
      <c r="J12" s="8">
        <v>36100</v>
      </c>
    </row>
    <row r="13" spans="1:10" ht="30" x14ac:dyDescent="0.25">
      <c r="A13" s="7" t="s">
        <v>84</v>
      </c>
      <c r="B13" s="7" t="s">
        <v>85</v>
      </c>
      <c r="C13" s="7" t="s">
        <v>86</v>
      </c>
      <c r="D13" s="7" t="s">
        <v>87</v>
      </c>
      <c r="E13" s="7" t="s">
        <v>83</v>
      </c>
      <c r="F13" s="7" t="s">
        <v>17</v>
      </c>
      <c r="G13" s="7">
        <v>2097</v>
      </c>
      <c r="H13" s="7" t="s">
        <v>109</v>
      </c>
      <c r="I13" s="7" t="s">
        <v>109</v>
      </c>
      <c r="J13" s="11">
        <v>8.6999999999999993</v>
      </c>
    </row>
    <row r="14" spans="1:10" ht="30" x14ac:dyDescent="0.25">
      <c r="A14" s="7" t="s">
        <v>84</v>
      </c>
      <c r="B14" s="7" t="s">
        <v>85</v>
      </c>
      <c r="C14" s="7" t="s">
        <v>86</v>
      </c>
      <c r="D14" s="7" t="s">
        <v>87</v>
      </c>
      <c r="E14" s="7" t="s">
        <v>83</v>
      </c>
      <c r="F14" s="7" t="s">
        <v>64</v>
      </c>
      <c r="G14" s="7">
        <v>2002</v>
      </c>
      <c r="H14" s="7" t="s">
        <v>109</v>
      </c>
      <c r="I14" s="7" t="s">
        <v>109</v>
      </c>
      <c r="J14" s="11">
        <v>7.7</v>
      </c>
    </row>
    <row r="15" spans="1:10" ht="30" x14ac:dyDescent="0.25">
      <c r="A15" s="7" t="s">
        <v>84</v>
      </c>
      <c r="B15" s="7" t="s">
        <v>85</v>
      </c>
      <c r="C15" s="7" t="s">
        <v>86</v>
      </c>
      <c r="D15" s="7" t="s">
        <v>87</v>
      </c>
      <c r="E15" s="7" t="s">
        <v>83</v>
      </c>
      <c r="F15" s="7" t="s">
        <v>65</v>
      </c>
      <c r="G15" s="7">
        <v>2007</v>
      </c>
      <c r="H15" s="7" t="s">
        <v>109</v>
      </c>
      <c r="I15" s="7" t="s">
        <v>109</v>
      </c>
      <c r="J15" s="11">
        <v>7.9</v>
      </c>
    </row>
    <row r="16" spans="1:10" ht="30" x14ac:dyDescent="0.25">
      <c r="A16" s="7" t="s">
        <v>84</v>
      </c>
      <c r="B16" s="7" t="s">
        <v>85</v>
      </c>
      <c r="C16" s="7" t="s">
        <v>86</v>
      </c>
      <c r="D16" s="7" t="s">
        <v>87</v>
      </c>
      <c r="E16" s="7" t="s">
        <v>83</v>
      </c>
      <c r="F16" s="7" t="s">
        <v>111</v>
      </c>
      <c r="G16" s="7">
        <v>2012</v>
      </c>
      <c r="H16" s="7" t="s">
        <v>109</v>
      </c>
      <c r="I16" s="7" t="s">
        <v>109</v>
      </c>
      <c r="J16" s="11">
        <v>9.4</v>
      </c>
    </row>
    <row r="17" spans="1:10" ht="30" x14ac:dyDescent="0.25">
      <c r="A17" s="7" t="s">
        <v>84</v>
      </c>
      <c r="B17" s="7" t="s">
        <v>85</v>
      </c>
      <c r="C17" s="7" t="s">
        <v>86</v>
      </c>
      <c r="D17" s="7" t="s">
        <v>87</v>
      </c>
      <c r="E17" s="7" t="s">
        <v>83</v>
      </c>
      <c r="F17" s="7" t="s">
        <v>18</v>
      </c>
      <c r="G17" s="7">
        <v>2017</v>
      </c>
      <c r="H17" s="7">
        <v>1</v>
      </c>
      <c r="I17" s="7" t="s">
        <v>109</v>
      </c>
      <c r="J17" s="11">
        <v>9.4</v>
      </c>
    </row>
    <row r="18" spans="1:10" ht="30" x14ac:dyDescent="0.25">
      <c r="A18" s="7" t="s">
        <v>88</v>
      </c>
      <c r="B18" s="7" t="s">
        <v>24</v>
      </c>
      <c r="C18" s="7" t="s">
        <v>81</v>
      </c>
      <c r="D18" s="7" t="s">
        <v>89</v>
      </c>
      <c r="E18" s="7" t="s">
        <v>83</v>
      </c>
      <c r="F18" s="7" t="s">
        <v>17</v>
      </c>
      <c r="G18" s="7">
        <v>2097</v>
      </c>
      <c r="H18" s="7" t="s">
        <v>109</v>
      </c>
      <c r="I18" s="7" t="s">
        <v>109</v>
      </c>
      <c r="J18" s="8">
        <v>92700</v>
      </c>
    </row>
    <row r="19" spans="1:10" ht="30" x14ac:dyDescent="0.25">
      <c r="A19" s="7" t="s">
        <v>88</v>
      </c>
      <c r="B19" s="7" t="s">
        <v>24</v>
      </c>
      <c r="C19" s="7" t="s">
        <v>81</v>
      </c>
      <c r="D19" s="7" t="s">
        <v>89</v>
      </c>
      <c r="E19" s="7" t="s">
        <v>83</v>
      </c>
      <c r="F19" s="7" t="s">
        <v>64</v>
      </c>
      <c r="G19" s="7">
        <v>2002</v>
      </c>
      <c r="H19" s="7" t="s">
        <v>109</v>
      </c>
      <c r="I19" s="7" t="s">
        <v>109</v>
      </c>
      <c r="J19" s="8">
        <v>93800</v>
      </c>
    </row>
    <row r="20" spans="1:10" ht="30" x14ac:dyDescent="0.25">
      <c r="A20" s="7" t="s">
        <v>88</v>
      </c>
      <c r="B20" s="7" t="s">
        <v>24</v>
      </c>
      <c r="C20" s="7" t="s">
        <v>81</v>
      </c>
      <c r="D20" s="7" t="s">
        <v>89</v>
      </c>
      <c r="E20" s="7" t="s">
        <v>83</v>
      </c>
      <c r="F20" s="7" t="s">
        <v>65</v>
      </c>
      <c r="G20" s="7">
        <v>2007</v>
      </c>
      <c r="H20" s="7" t="s">
        <v>109</v>
      </c>
      <c r="I20" s="7" t="s">
        <v>109</v>
      </c>
      <c r="J20" s="8">
        <v>105200</v>
      </c>
    </row>
    <row r="21" spans="1:10" ht="30" x14ac:dyDescent="0.25">
      <c r="A21" s="7" t="s">
        <v>88</v>
      </c>
      <c r="B21" s="7" t="s">
        <v>24</v>
      </c>
      <c r="C21" s="7" t="s">
        <v>81</v>
      </c>
      <c r="D21" s="7" t="s">
        <v>89</v>
      </c>
      <c r="E21" s="7" t="s">
        <v>83</v>
      </c>
      <c r="F21" s="7" t="s">
        <v>111</v>
      </c>
      <c r="G21" s="7">
        <v>2012</v>
      </c>
      <c r="H21" s="7" t="s">
        <v>109</v>
      </c>
      <c r="I21" s="7" t="s">
        <v>109</v>
      </c>
      <c r="J21" s="8">
        <v>122700</v>
      </c>
    </row>
    <row r="22" spans="1:10" ht="30" x14ac:dyDescent="0.25">
      <c r="A22" s="7" t="s">
        <v>88</v>
      </c>
      <c r="B22" s="7" t="s">
        <v>24</v>
      </c>
      <c r="C22" s="7" t="s">
        <v>81</v>
      </c>
      <c r="D22" s="7" t="s">
        <v>89</v>
      </c>
      <c r="E22" s="7" t="s">
        <v>83</v>
      </c>
      <c r="F22" s="7" t="s">
        <v>18</v>
      </c>
      <c r="G22" s="7">
        <v>2017</v>
      </c>
      <c r="H22" s="7">
        <v>1</v>
      </c>
      <c r="I22" s="7" t="s">
        <v>109</v>
      </c>
      <c r="J22" s="8">
        <v>130500</v>
      </c>
    </row>
    <row r="23" spans="1:10" ht="30" x14ac:dyDescent="0.25">
      <c r="A23" s="7" t="s">
        <v>90</v>
      </c>
      <c r="B23" s="7" t="s">
        <v>26</v>
      </c>
      <c r="C23" s="7" t="s">
        <v>86</v>
      </c>
      <c r="D23" s="7" t="s">
        <v>87</v>
      </c>
      <c r="E23" s="7" t="s">
        <v>83</v>
      </c>
      <c r="F23" s="7" t="s">
        <v>17</v>
      </c>
      <c r="G23" s="7">
        <v>2097</v>
      </c>
      <c r="H23" s="7" t="s">
        <v>109</v>
      </c>
      <c r="I23" s="7" t="s">
        <v>109</v>
      </c>
      <c r="J23" s="11">
        <v>8.1999999999999993</v>
      </c>
    </row>
    <row r="24" spans="1:10" ht="30" x14ac:dyDescent="0.25">
      <c r="A24" s="7" t="s">
        <v>90</v>
      </c>
      <c r="B24" s="7" t="s">
        <v>26</v>
      </c>
      <c r="C24" s="7" t="s">
        <v>86</v>
      </c>
      <c r="D24" s="7" t="s">
        <v>87</v>
      </c>
      <c r="E24" s="7" t="s">
        <v>83</v>
      </c>
      <c r="F24" s="7" t="s">
        <v>64</v>
      </c>
      <c r="G24" s="7">
        <v>2002</v>
      </c>
      <c r="H24" s="7" t="s">
        <v>109</v>
      </c>
      <c r="I24" s="7" t="s">
        <v>109</v>
      </c>
      <c r="J24" s="11">
        <v>7.8</v>
      </c>
    </row>
    <row r="25" spans="1:10" ht="30" x14ac:dyDescent="0.25">
      <c r="A25" s="7" t="s">
        <v>90</v>
      </c>
      <c r="B25" s="7" t="s">
        <v>26</v>
      </c>
      <c r="C25" s="7" t="s">
        <v>86</v>
      </c>
      <c r="D25" s="7" t="s">
        <v>87</v>
      </c>
      <c r="E25" s="7" t="s">
        <v>83</v>
      </c>
      <c r="F25" s="7" t="s">
        <v>65</v>
      </c>
      <c r="G25" s="7">
        <v>2007</v>
      </c>
      <c r="H25" s="7" t="s">
        <v>109</v>
      </c>
      <c r="I25" s="7" t="s">
        <v>109</v>
      </c>
      <c r="J25" s="11">
        <v>8.5</v>
      </c>
    </row>
    <row r="26" spans="1:10" ht="30" x14ac:dyDescent="0.25">
      <c r="A26" s="7" t="s">
        <v>90</v>
      </c>
      <c r="B26" s="7" t="s">
        <v>26</v>
      </c>
      <c r="C26" s="7" t="s">
        <v>86</v>
      </c>
      <c r="D26" s="7" t="s">
        <v>87</v>
      </c>
      <c r="E26" s="7" t="s">
        <v>83</v>
      </c>
      <c r="F26" s="7" t="s">
        <v>111</v>
      </c>
      <c r="G26" s="7">
        <v>2012</v>
      </c>
      <c r="H26" s="7" t="s">
        <v>109</v>
      </c>
      <c r="I26" s="7" t="s">
        <v>109</v>
      </c>
      <c r="J26" s="11">
        <v>9.8000000000000007</v>
      </c>
    </row>
    <row r="27" spans="1:10" ht="30" x14ac:dyDescent="0.25">
      <c r="A27" s="7" t="s">
        <v>90</v>
      </c>
      <c r="B27" s="7" t="s">
        <v>26</v>
      </c>
      <c r="C27" s="7" t="s">
        <v>86</v>
      </c>
      <c r="D27" s="7" t="s">
        <v>87</v>
      </c>
      <c r="E27" s="7" t="s">
        <v>83</v>
      </c>
      <c r="F27" s="7" t="s">
        <v>18</v>
      </c>
      <c r="G27" s="7">
        <v>2017</v>
      </c>
      <c r="H27" s="7">
        <v>1</v>
      </c>
      <c r="I27" s="7" t="s">
        <v>109</v>
      </c>
      <c r="J27" s="11">
        <v>10.3</v>
      </c>
    </row>
    <row r="28" spans="1:10" x14ac:dyDescent="0.25">
      <c r="A28" s="7" t="s">
        <v>91</v>
      </c>
      <c r="B28" s="7" t="s">
        <v>92</v>
      </c>
      <c r="C28" s="7" t="s">
        <v>93</v>
      </c>
      <c r="D28" s="7" t="s">
        <v>87</v>
      </c>
      <c r="E28" s="7" t="s">
        <v>94</v>
      </c>
      <c r="F28" s="7" t="s">
        <v>17</v>
      </c>
      <c r="G28" s="7">
        <v>2097</v>
      </c>
      <c r="H28" s="7" t="s">
        <v>109</v>
      </c>
      <c r="I28" s="7" t="s">
        <v>109</v>
      </c>
      <c r="J28" s="11">
        <v>21</v>
      </c>
    </row>
    <row r="29" spans="1:10" x14ac:dyDescent="0.25">
      <c r="A29" s="7" t="s">
        <v>91</v>
      </c>
      <c r="B29" s="7" t="s">
        <v>92</v>
      </c>
      <c r="C29" s="7" t="s">
        <v>93</v>
      </c>
      <c r="D29" s="7" t="s">
        <v>87</v>
      </c>
      <c r="E29" s="7" t="s">
        <v>94</v>
      </c>
      <c r="F29" s="7" t="s">
        <v>64</v>
      </c>
      <c r="G29" s="7">
        <v>2002</v>
      </c>
      <c r="H29" s="7" t="s">
        <v>109</v>
      </c>
      <c r="I29" s="7" t="s">
        <v>109</v>
      </c>
      <c r="J29" s="11">
        <v>22.6</v>
      </c>
    </row>
    <row r="30" spans="1:10" x14ac:dyDescent="0.25">
      <c r="A30" s="7" t="s">
        <v>91</v>
      </c>
      <c r="B30" s="7" t="s">
        <v>92</v>
      </c>
      <c r="C30" s="7" t="s">
        <v>93</v>
      </c>
      <c r="D30" s="7" t="s">
        <v>87</v>
      </c>
      <c r="E30" s="7" t="s">
        <v>94</v>
      </c>
      <c r="F30" s="7" t="s">
        <v>65</v>
      </c>
      <c r="G30" s="7">
        <v>2007</v>
      </c>
      <c r="H30" s="7" t="s">
        <v>109</v>
      </c>
      <c r="I30" s="7" t="s">
        <v>109</v>
      </c>
      <c r="J30" s="11">
        <v>21.9</v>
      </c>
    </row>
    <row r="31" spans="1:10" x14ac:dyDescent="0.25">
      <c r="A31" s="7" t="s">
        <v>91</v>
      </c>
      <c r="B31" s="7" t="s">
        <v>92</v>
      </c>
      <c r="C31" s="7" t="s">
        <v>93</v>
      </c>
      <c r="D31" s="7" t="s">
        <v>87</v>
      </c>
      <c r="E31" s="7" t="s">
        <v>94</v>
      </c>
      <c r="F31" s="7" t="s">
        <v>111</v>
      </c>
      <c r="G31" s="7">
        <v>2012</v>
      </c>
      <c r="H31" s="7" t="s">
        <v>109</v>
      </c>
      <c r="I31" s="7" t="s">
        <v>109</v>
      </c>
      <c r="J31" s="11">
        <v>24</v>
      </c>
    </row>
    <row r="32" spans="1:10" x14ac:dyDescent="0.25">
      <c r="A32" s="7" t="s">
        <v>91</v>
      </c>
      <c r="B32" s="7" t="s">
        <v>92</v>
      </c>
      <c r="C32" s="7" t="s">
        <v>93</v>
      </c>
      <c r="D32" s="7" t="s">
        <v>87</v>
      </c>
      <c r="E32" s="7" t="s">
        <v>94</v>
      </c>
      <c r="F32" s="7" t="s">
        <v>18</v>
      </c>
      <c r="G32" s="7">
        <v>2017</v>
      </c>
      <c r="H32" s="7">
        <v>1</v>
      </c>
      <c r="I32" s="7" t="s">
        <v>109</v>
      </c>
      <c r="J32" s="11">
        <v>23.8</v>
      </c>
    </row>
    <row r="33" spans="1:10" x14ac:dyDescent="0.25">
      <c r="A33" s="7" t="s">
        <v>95</v>
      </c>
      <c r="B33" s="7" t="s">
        <v>96</v>
      </c>
      <c r="C33" s="7" t="s">
        <v>93</v>
      </c>
      <c r="D33" s="7" t="s">
        <v>87</v>
      </c>
      <c r="E33" s="7" t="s">
        <v>97</v>
      </c>
      <c r="F33" s="7" t="s">
        <v>17</v>
      </c>
      <c r="G33" s="7">
        <v>2097</v>
      </c>
      <c r="H33" s="7" t="s">
        <v>109</v>
      </c>
      <c r="I33" s="7" t="s">
        <v>109</v>
      </c>
      <c r="J33" s="11">
        <v>1.7</v>
      </c>
    </row>
    <row r="34" spans="1:10" x14ac:dyDescent="0.25">
      <c r="A34" s="7" t="s">
        <v>95</v>
      </c>
      <c r="B34" s="7" t="s">
        <v>96</v>
      </c>
      <c r="C34" s="7" t="s">
        <v>93</v>
      </c>
      <c r="D34" s="7" t="s">
        <v>87</v>
      </c>
      <c r="E34" s="7" t="s">
        <v>97</v>
      </c>
      <c r="F34" s="7" t="s">
        <v>64</v>
      </c>
      <c r="G34" s="7">
        <v>2002</v>
      </c>
      <c r="H34" s="7" t="s">
        <v>109</v>
      </c>
      <c r="I34" s="7" t="s">
        <v>109</v>
      </c>
      <c r="J34" s="11">
        <v>1.8</v>
      </c>
    </row>
    <row r="35" spans="1:10" x14ac:dyDescent="0.25">
      <c r="A35" s="7" t="s">
        <v>95</v>
      </c>
      <c r="B35" s="7" t="s">
        <v>96</v>
      </c>
      <c r="C35" s="7" t="s">
        <v>93</v>
      </c>
      <c r="D35" s="7" t="s">
        <v>87</v>
      </c>
      <c r="E35" s="7" t="s">
        <v>97</v>
      </c>
      <c r="F35" s="7" t="s">
        <v>65</v>
      </c>
      <c r="G35" s="7">
        <v>2007</v>
      </c>
      <c r="H35" s="7" t="s">
        <v>109</v>
      </c>
      <c r="I35" s="7" t="s">
        <v>109</v>
      </c>
      <c r="J35" s="11">
        <v>1.9</v>
      </c>
    </row>
    <row r="36" spans="1:10" x14ac:dyDescent="0.25">
      <c r="A36" s="7" t="s">
        <v>95</v>
      </c>
      <c r="B36" s="7" t="s">
        <v>96</v>
      </c>
      <c r="C36" s="7" t="s">
        <v>93</v>
      </c>
      <c r="D36" s="7" t="s">
        <v>87</v>
      </c>
      <c r="E36" s="7" t="s">
        <v>97</v>
      </c>
      <c r="F36" s="7" t="s">
        <v>111</v>
      </c>
      <c r="G36" s="7">
        <v>2012</v>
      </c>
      <c r="H36" s="7" t="s">
        <v>109</v>
      </c>
      <c r="I36" s="7" t="s">
        <v>109</v>
      </c>
      <c r="J36" s="11">
        <v>2.2999999999999998</v>
      </c>
    </row>
    <row r="37" spans="1:10" x14ac:dyDescent="0.25">
      <c r="A37" s="7" t="s">
        <v>95</v>
      </c>
      <c r="B37" s="7" t="s">
        <v>96</v>
      </c>
      <c r="C37" s="7" t="s">
        <v>93</v>
      </c>
      <c r="D37" s="7" t="s">
        <v>87</v>
      </c>
      <c r="E37" s="7" t="s">
        <v>97</v>
      </c>
      <c r="F37" s="7" t="s">
        <v>18</v>
      </c>
      <c r="G37" s="7">
        <v>2017</v>
      </c>
      <c r="H37" s="7">
        <v>1</v>
      </c>
      <c r="I37" s="7" t="s">
        <v>109</v>
      </c>
      <c r="J37" s="11">
        <v>2.4</v>
      </c>
    </row>
    <row r="38" spans="1:10" ht="30" x14ac:dyDescent="0.25">
      <c r="A38" s="7" t="s">
        <v>98</v>
      </c>
      <c r="B38" s="7" t="s">
        <v>28</v>
      </c>
      <c r="C38" s="7" t="s">
        <v>99</v>
      </c>
      <c r="D38" s="7" t="s">
        <v>100</v>
      </c>
      <c r="E38" s="7" t="s">
        <v>97</v>
      </c>
      <c r="F38" s="7" t="s">
        <v>17</v>
      </c>
      <c r="G38" s="7">
        <v>2097</v>
      </c>
      <c r="H38" s="7" t="s">
        <v>109</v>
      </c>
      <c r="I38" s="7" t="s">
        <v>109</v>
      </c>
      <c r="J38" s="8">
        <v>300</v>
      </c>
    </row>
    <row r="39" spans="1:10" ht="30" x14ac:dyDescent="0.25">
      <c r="A39" s="7" t="s">
        <v>98</v>
      </c>
      <c r="B39" s="7" t="s">
        <v>28</v>
      </c>
      <c r="C39" s="7" t="s">
        <v>99</v>
      </c>
      <c r="D39" s="7" t="s">
        <v>100</v>
      </c>
      <c r="E39" s="7" t="s">
        <v>97</v>
      </c>
      <c r="F39" s="7" t="s">
        <v>64</v>
      </c>
      <c r="G39" s="7">
        <v>2002</v>
      </c>
      <c r="H39" s="7" t="s">
        <v>109</v>
      </c>
      <c r="I39" s="7" t="s">
        <v>109</v>
      </c>
      <c r="J39" s="8">
        <v>450</v>
      </c>
    </row>
    <row r="40" spans="1:10" ht="30" x14ac:dyDescent="0.25">
      <c r="A40" s="7" t="s">
        <v>98</v>
      </c>
      <c r="B40" s="7" t="s">
        <v>28</v>
      </c>
      <c r="C40" s="7" t="s">
        <v>99</v>
      </c>
      <c r="D40" s="7" t="s">
        <v>100</v>
      </c>
      <c r="E40" s="7" t="s">
        <v>97</v>
      </c>
      <c r="F40" s="7" t="s">
        <v>65</v>
      </c>
      <c r="G40" s="7">
        <v>2007</v>
      </c>
      <c r="H40" s="7" t="s">
        <v>109</v>
      </c>
      <c r="I40" s="7" t="s">
        <v>109</v>
      </c>
      <c r="J40" s="8">
        <v>700</v>
      </c>
    </row>
    <row r="41" spans="1:10" ht="30" x14ac:dyDescent="0.25">
      <c r="A41" s="7" t="s">
        <v>98</v>
      </c>
      <c r="B41" s="7" t="s">
        <v>28</v>
      </c>
      <c r="C41" s="7" t="s">
        <v>99</v>
      </c>
      <c r="D41" s="7" t="s">
        <v>100</v>
      </c>
      <c r="E41" s="7" t="s">
        <v>97</v>
      </c>
      <c r="F41" s="7" t="s">
        <v>111</v>
      </c>
      <c r="G41" s="7">
        <v>2012</v>
      </c>
      <c r="H41" s="7" t="s">
        <v>109</v>
      </c>
      <c r="I41" s="7" t="s">
        <v>109</v>
      </c>
      <c r="J41" s="8">
        <v>1300</v>
      </c>
    </row>
    <row r="42" spans="1:10" ht="30" x14ac:dyDescent="0.25">
      <c r="A42" s="7" t="s">
        <v>98</v>
      </c>
      <c r="B42" s="7" t="s">
        <v>28</v>
      </c>
      <c r="C42" s="7" t="s">
        <v>99</v>
      </c>
      <c r="D42" s="7" t="s">
        <v>100</v>
      </c>
      <c r="E42" s="7" t="s">
        <v>97</v>
      </c>
      <c r="F42" s="7" t="s">
        <v>18</v>
      </c>
      <c r="G42" s="7">
        <v>2017</v>
      </c>
      <c r="H42" s="7">
        <v>1</v>
      </c>
      <c r="I42" s="7" t="s">
        <v>109</v>
      </c>
      <c r="J42" s="8">
        <v>1900</v>
      </c>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4"/>
  <sheetViews>
    <sheetView showGridLines="0" workbookViewId="0">
      <selection sqref="A1:K1"/>
    </sheetView>
  </sheetViews>
  <sheetFormatPr defaultRowHeight="15" x14ac:dyDescent="0.25"/>
  <cols>
    <col min="1" max="1" width="10" customWidth="1"/>
    <col min="2" max="2" width="40" customWidth="1"/>
    <col min="3" max="3" width="18" customWidth="1"/>
    <col min="4" max="4" width="24" customWidth="1"/>
    <col min="5" max="6" width="12" customWidth="1"/>
    <col min="7" max="7" width="8" customWidth="1"/>
    <col min="8" max="9" width="12" customWidth="1"/>
    <col min="10" max="10" width="14" customWidth="1"/>
    <col min="11" max="11" width="11" customWidth="1"/>
  </cols>
  <sheetData>
    <row r="1" spans="1:11" ht="19.5" x14ac:dyDescent="0.3">
      <c r="A1" s="53" t="s">
        <v>112</v>
      </c>
      <c r="B1" s="51"/>
      <c r="C1" s="51"/>
      <c r="D1" s="51"/>
      <c r="E1" s="51"/>
      <c r="F1" s="51"/>
      <c r="G1" s="51"/>
      <c r="H1" s="51"/>
      <c r="I1" s="51"/>
      <c r="J1" s="51"/>
      <c r="K1" s="51"/>
    </row>
    <row r="2" spans="1:11" ht="30" x14ac:dyDescent="0.25">
      <c r="A2" s="3" t="s">
        <v>61</v>
      </c>
      <c r="B2" s="3" t="s">
        <v>16</v>
      </c>
      <c r="C2" s="3" t="s">
        <v>62</v>
      </c>
      <c r="D2" s="3" t="s">
        <v>63</v>
      </c>
      <c r="E2" s="3" t="s">
        <v>113</v>
      </c>
      <c r="F2" s="3" t="s">
        <v>114</v>
      </c>
      <c r="G2" s="3" t="s">
        <v>115</v>
      </c>
      <c r="H2" s="3" t="s">
        <v>116</v>
      </c>
      <c r="I2" s="3" t="s">
        <v>117</v>
      </c>
      <c r="J2" s="3" t="s">
        <v>19</v>
      </c>
      <c r="K2" s="3" t="s">
        <v>20</v>
      </c>
    </row>
    <row r="3" spans="1:11" x14ac:dyDescent="0.25">
      <c r="A3" s="13" t="s">
        <v>75</v>
      </c>
      <c r="B3" s="13" t="s">
        <v>22</v>
      </c>
      <c r="C3" s="13" t="s">
        <v>76</v>
      </c>
      <c r="D3" s="13" t="s">
        <v>77</v>
      </c>
      <c r="E3" s="13" t="s">
        <v>17</v>
      </c>
      <c r="F3" s="13" t="s">
        <v>64</v>
      </c>
      <c r="G3" s="5">
        <f>Indicators_Wide!F$3-Indicators_Wide!E$3</f>
        <v>5</v>
      </c>
      <c r="H3" s="14">
        <f>Indicators_Wide!E4</f>
        <v>2004</v>
      </c>
      <c r="I3" s="14">
        <f>Indicators_Wide!F4</f>
        <v>2804</v>
      </c>
      <c r="J3" s="14">
        <f t="shared" ref="J3:J34" si="0">I3-H3</f>
        <v>800</v>
      </c>
      <c r="K3" s="6">
        <f t="shared" ref="K3:K34" si="1">IFERROR(I3/H3-1,"")</f>
        <v>0.39920159680638712</v>
      </c>
    </row>
    <row r="4" spans="1:11" x14ac:dyDescent="0.25">
      <c r="A4" s="13" t="s">
        <v>75</v>
      </c>
      <c r="B4" s="13" t="s">
        <v>22</v>
      </c>
      <c r="C4" s="13" t="s">
        <v>76</v>
      </c>
      <c r="D4" s="13" t="s">
        <v>77</v>
      </c>
      <c r="E4" s="13" t="s">
        <v>64</v>
      </c>
      <c r="F4" s="13" t="s">
        <v>65</v>
      </c>
      <c r="G4" s="5">
        <f>Indicators_Wide!G$3-Indicators_Wide!F$3</f>
        <v>5</v>
      </c>
      <c r="H4" s="14">
        <f>Indicators_Wide!F4</f>
        <v>2804</v>
      </c>
      <c r="I4" s="14">
        <f>Indicators_Wide!G4</f>
        <v>3821</v>
      </c>
      <c r="J4" s="14">
        <f t="shared" si="0"/>
        <v>1017</v>
      </c>
      <c r="K4" s="6">
        <f t="shared" si="1"/>
        <v>0.36269614835948638</v>
      </c>
    </row>
    <row r="5" spans="1:11" x14ac:dyDescent="0.25">
      <c r="A5" s="13" t="s">
        <v>75</v>
      </c>
      <c r="B5" s="13" t="s">
        <v>22</v>
      </c>
      <c r="C5" s="13" t="s">
        <v>76</v>
      </c>
      <c r="D5" s="13" t="s">
        <v>77</v>
      </c>
      <c r="E5" s="13" t="s">
        <v>65</v>
      </c>
      <c r="F5" s="13" t="s">
        <v>111</v>
      </c>
      <c r="G5" s="5">
        <f>Indicators_Wide!H$3-Indicators_Wide!G$3</f>
        <v>5</v>
      </c>
      <c r="H5" s="14">
        <f>Indicators_Wide!G4</f>
        <v>3821</v>
      </c>
      <c r="I5" s="14">
        <f>Indicators_Wide!H4</f>
        <v>5652</v>
      </c>
      <c r="J5" s="14">
        <f t="shared" si="0"/>
        <v>1831</v>
      </c>
      <c r="K5" s="6">
        <f t="shared" si="1"/>
        <v>0.47919392829102336</v>
      </c>
    </row>
    <row r="6" spans="1:11" x14ac:dyDescent="0.25">
      <c r="A6" s="13" t="s">
        <v>75</v>
      </c>
      <c r="B6" s="13" t="s">
        <v>22</v>
      </c>
      <c r="C6" s="13" t="s">
        <v>76</v>
      </c>
      <c r="D6" s="13" t="s">
        <v>77</v>
      </c>
      <c r="E6" s="13" t="s">
        <v>111</v>
      </c>
      <c r="F6" s="13" t="s">
        <v>18</v>
      </c>
      <c r="G6" s="5">
        <f>Indicators_Wide!I$3-Indicators_Wide!H$3</f>
        <v>5</v>
      </c>
      <c r="H6" s="14">
        <f>Indicators_Wide!H4</f>
        <v>5652</v>
      </c>
      <c r="I6" s="14">
        <f>Indicators_Wide!I4</f>
        <v>7497</v>
      </c>
      <c r="J6" s="14">
        <f t="shared" si="0"/>
        <v>1845</v>
      </c>
      <c r="K6" s="6">
        <f t="shared" si="1"/>
        <v>0.32643312101910826</v>
      </c>
    </row>
    <row r="7" spans="1:11" x14ac:dyDescent="0.25">
      <c r="A7" s="13" t="s">
        <v>79</v>
      </c>
      <c r="B7" s="13" t="s">
        <v>80</v>
      </c>
      <c r="C7" s="13" t="s">
        <v>81</v>
      </c>
      <c r="D7" s="13" t="s">
        <v>82</v>
      </c>
      <c r="E7" s="13" t="s">
        <v>17</v>
      </c>
      <c r="F7" s="13" t="s">
        <v>64</v>
      </c>
      <c r="G7" s="5">
        <f>Indicators_Wide!F$3-Indicators_Wide!E$3</f>
        <v>5</v>
      </c>
      <c r="H7" s="14">
        <f>Indicators_Wide!E5</f>
        <v>23800</v>
      </c>
      <c r="I7" s="14">
        <f>Indicators_Wide!F5</f>
        <v>23700</v>
      </c>
      <c r="J7" s="14">
        <f t="shared" si="0"/>
        <v>-100</v>
      </c>
      <c r="K7" s="6">
        <f t="shared" si="1"/>
        <v>-4.2016806722688926E-3</v>
      </c>
    </row>
    <row r="8" spans="1:11" x14ac:dyDescent="0.25">
      <c r="A8" s="13" t="s">
        <v>79</v>
      </c>
      <c r="B8" s="13" t="s">
        <v>80</v>
      </c>
      <c r="C8" s="13" t="s">
        <v>81</v>
      </c>
      <c r="D8" s="13" t="s">
        <v>82</v>
      </c>
      <c r="E8" s="13" t="s">
        <v>64</v>
      </c>
      <c r="F8" s="13" t="s">
        <v>65</v>
      </c>
      <c r="G8" s="5">
        <f>Indicators_Wide!G$3-Indicators_Wide!F$3</f>
        <v>5</v>
      </c>
      <c r="H8" s="14">
        <f>Indicators_Wide!F5</f>
        <v>23700</v>
      </c>
      <c r="I8" s="14">
        <f>Indicators_Wide!G5</f>
        <v>26100</v>
      </c>
      <c r="J8" s="14">
        <f t="shared" si="0"/>
        <v>2400</v>
      </c>
      <c r="K8" s="6">
        <f t="shared" si="1"/>
        <v>0.10126582278481022</v>
      </c>
    </row>
    <row r="9" spans="1:11" x14ac:dyDescent="0.25">
      <c r="A9" s="13" t="s">
        <v>79</v>
      </c>
      <c r="B9" s="13" t="s">
        <v>80</v>
      </c>
      <c r="C9" s="13" t="s">
        <v>81</v>
      </c>
      <c r="D9" s="13" t="s">
        <v>82</v>
      </c>
      <c r="E9" s="13" t="s">
        <v>65</v>
      </c>
      <c r="F9" s="13" t="s">
        <v>111</v>
      </c>
      <c r="G9" s="5">
        <f>Indicators_Wide!H$3-Indicators_Wide!G$3</f>
        <v>5</v>
      </c>
      <c r="H9" s="14">
        <f>Indicators_Wide!G5</f>
        <v>26100</v>
      </c>
      <c r="I9" s="14">
        <f>Indicators_Wide!H5</f>
        <v>33600</v>
      </c>
      <c r="J9" s="14">
        <f t="shared" si="0"/>
        <v>7500</v>
      </c>
      <c r="K9" s="6">
        <f t="shared" si="1"/>
        <v>0.28735632183908044</v>
      </c>
    </row>
    <row r="10" spans="1:11" x14ac:dyDescent="0.25">
      <c r="A10" s="13" t="s">
        <v>79</v>
      </c>
      <c r="B10" s="13" t="s">
        <v>80</v>
      </c>
      <c r="C10" s="13" t="s">
        <v>81</v>
      </c>
      <c r="D10" s="13" t="s">
        <v>82</v>
      </c>
      <c r="E10" s="13" t="s">
        <v>111</v>
      </c>
      <c r="F10" s="13" t="s">
        <v>18</v>
      </c>
      <c r="G10" s="5">
        <f>Indicators_Wide!I$3-Indicators_Wide!H$3</f>
        <v>5</v>
      </c>
      <c r="H10" s="14">
        <f>Indicators_Wide!H5</f>
        <v>33600</v>
      </c>
      <c r="I10" s="14">
        <f>Indicators_Wide!I5</f>
        <v>36100</v>
      </c>
      <c r="J10" s="14">
        <f t="shared" si="0"/>
        <v>2500</v>
      </c>
      <c r="K10" s="6">
        <f t="shared" si="1"/>
        <v>7.4404761904761862E-2</v>
      </c>
    </row>
    <row r="11" spans="1:11" x14ac:dyDescent="0.25">
      <c r="A11" s="13" t="s">
        <v>84</v>
      </c>
      <c r="B11" s="13" t="s">
        <v>85</v>
      </c>
      <c r="C11" s="13" t="s">
        <v>86</v>
      </c>
      <c r="D11" s="13" t="s">
        <v>87</v>
      </c>
      <c r="E11" s="13" t="s">
        <v>17</v>
      </c>
      <c r="F11" s="13" t="s">
        <v>64</v>
      </c>
      <c r="G11" s="5">
        <f>Indicators_Wide!F$3-Indicators_Wide!E$3</f>
        <v>5</v>
      </c>
      <c r="H11" s="15">
        <f>Indicators_Wide!E6</f>
        <v>8.6999999999999993</v>
      </c>
      <c r="I11" s="15">
        <f>Indicators_Wide!F6</f>
        <v>7.7</v>
      </c>
      <c r="J11" s="15">
        <f t="shared" si="0"/>
        <v>-0.99999999999999911</v>
      </c>
      <c r="K11" s="6">
        <f t="shared" si="1"/>
        <v>-0.11494252873563204</v>
      </c>
    </row>
    <row r="12" spans="1:11" x14ac:dyDescent="0.25">
      <c r="A12" s="13" t="s">
        <v>84</v>
      </c>
      <c r="B12" s="13" t="s">
        <v>85</v>
      </c>
      <c r="C12" s="13" t="s">
        <v>86</v>
      </c>
      <c r="D12" s="13" t="s">
        <v>87</v>
      </c>
      <c r="E12" s="13" t="s">
        <v>64</v>
      </c>
      <c r="F12" s="13" t="s">
        <v>65</v>
      </c>
      <c r="G12" s="5">
        <f>Indicators_Wide!G$3-Indicators_Wide!F$3</f>
        <v>5</v>
      </c>
      <c r="H12" s="15">
        <f>Indicators_Wide!F6</f>
        <v>7.7</v>
      </c>
      <c r="I12" s="15">
        <f>Indicators_Wide!G6</f>
        <v>7.9</v>
      </c>
      <c r="J12" s="15">
        <f t="shared" si="0"/>
        <v>0.20000000000000018</v>
      </c>
      <c r="K12" s="6">
        <f t="shared" si="1"/>
        <v>2.5974025974025983E-2</v>
      </c>
    </row>
    <row r="13" spans="1:11" x14ac:dyDescent="0.25">
      <c r="A13" s="13" t="s">
        <v>84</v>
      </c>
      <c r="B13" s="13" t="s">
        <v>85</v>
      </c>
      <c r="C13" s="13" t="s">
        <v>86</v>
      </c>
      <c r="D13" s="13" t="s">
        <v>87</v>
      </c>
      <c r="E13" s="13" t="s">
        <v>65</v>
      </c>
      <c r="F13" s="13" t="s">
        <v>111</v>
      </c>
      <c r="G13" s="5">
        <f>Indicators_Wide!H$3-Indicators_Wide!G$3</f>
        <v>5</v>
      </c>
      <c r="H13" s="15">
        <f>Indicators_Wide!G6</f>
        <v>7.9</v>
      </c>
      <c r="I13" s="15">
        <f>Indicators_Wide!H6</f>
        <v>9.4</v>
      </c>
      <c r="J13" s="15">
        <f t="shared" si="0"/>
        <v>1.5</v>
      </c>
      <c r="K13" s="6">
        <f t="shared" si="1"/>
        <v>0.18987341772151889</v>
      </c>
    </row>
    <row r="14" spans="1:11" x14ac:dyDescent="0.25">
      <c r="A14" s="13" t="s">
        <v>84</v>
      </c>
      <c r="B14" s="13" t="s">
        <v>85</v>
      </c>
      <c r="C14" s="13" t="s">
        <v>86</v>
      </c>
      <c r="D14" s="13" t="s">
        <v>87</v>
      </c>
      <c r="E14" s="13" t="s">
        <v>111</v>
      </c>
      <c r="F14" s="13" t="s">
        <v>18</v>
      </c>
      <c r="G14" s="5">
        <f>Indicators_Wide!I$3-Indicators_Wide!H$3</f>
        <v>5</v>
      </c>
      <c r="H14" s="15">
        <f>Indicators_Wide!H6</f>
        <v>9.4</v>
      </c>
      <c r="I14" s="15">
        <f>Indicators_Wide!I6</f>
        <v>9.4</v>
      </c>
      <c r="J14" s="15">
        <f t="shared" si="0"/>
        <v>0</v>
      </c>
      <c r="K14" s="6">
        <f t="shared" si="1"/>
        <v>0</v>
      </c>
    </row>
    <row r="15" spans="1:11" x14ac:dyDescent="0.25">
      <c r="A15" s="13" t="s">
        <v>88</v>
      </c>
      <c r="B15" s="13" t="s">
        <v>24</v>
      </c>
      <c r="C15" s="13" t="s">
        <v>81</v>
      </c>
      <c r="D15" s="13" t="s">
        <v>89</v>
      </c>
      <c r="E15" s="13" t="s">
        <v>17</v>
      </c>
      <c r="F15" s="13" t="s">
        <v>64</v>
      </c>
      <c r="G15" s="5">
        <f>Indicators_Wide!F$3-Indicators_Wide!E$3</f>
        <v>5</v>
      </c>
      <c r="H15" s="14">
        <f>Indicators_Wide!E7</f>
        <v>92700</v>
      </c>
      <c r="I15" s="14">
        <f>Indicators_Wide!F7</f>
        <v>93800</v>
      </c>
      <c r="J15" s="14">
        <f t="shared" si="0"/>
        <v>1100</v>
      </c>
      <c r="K15" s="6">
        <f t="shared" si="1"/>
        <v>1.1866235167206085E-2</v>
      </c>
    </row>
    <row r="16" spans="1:11" x14ac:dyDescent="0.25">
      <c r="A16" s="13" t="s">
        <v>88</v>
      </c>
      <c r="B16" s="13" t="s">
        <v>24</v>
      </c>
      <c r="C16" s="13" t="s">
        <v>81</v>
      </c>
      <c r="D16" s="13" t="s">
        <v>89</v>
      </c>
      <c r="E16" s="13" t="s">
        <v>64</v>
      </c>
      <c r="F16" s="13" t="s">
        <v>65</v>
      </c>
      <c r="G16" s="5">
        <f>Indicators_Wide!G$3-Indicators_Wide!F$3</f>
        <v>5</v>
      </c>
      <c r="H16" s="14">
        <f>Indicators_Wide!F7</f>
        <v>93800</v>
      </c>
      <c r="I16" s="14">
        <f>Indicators_Wide!G7</f>
        <v>105200</v>
      </c>
      <c r="J16" s="14">
        <f t="shared" si="0"/>
        <v>11400</v>
      </c>
      <c r="K16" s="6">
        <f t="shared" si="1"/>
        <v>0.12153518123667384</v>
      </c>
    </row>
    <row r="17" spans="1:11" x14ac:dyDescent="0.25">
      <c r="A17" s="13" t="s">
        <v>88</v>
      </c>
      <c r="B17" s="13" t="s">
        <v>24</v>
      </c>
      <c r="C17" s="13" t="s">
        <v>81</v>
      </c>
      <c r="D17" s="13" t="s">
        <v>89</v>
      </c>
      <c r="E17" s="13" t="s">
        <v>65</v>
      </c>
      <c r="F17" s="13" t="s">
        <v>111</v>
      </c>
      <c r="G17" s="5">
        <f>Indicators_Wide!H$3-Indicators_Wide!G$3</f>
        <v>5</v>
      </c>
      <c r="H17" s="14">
        <f>Indicators_Wide!G7</f>
        <v>105200</v>
      </c>
      <c r="I17" s="14">
        <f>Indicators_Wide!H7</f>
        <v>122700</v>
      </c>
      <c r="J17" s="14">
        <f t="shared" si="0"/>
        <v>17500</v>
      </c>
      <c r="K17" s="6">
        <f t="shared" si="1"/>
        <v>0.16634980988593151</v>
      </c>
    </row>
    <row r="18" spans="1:11" x14ac:dyDescent="0.25">
      <c r="A18" s="13" t="s">
        <v>88</v>
      </c>
      <c r="B18" s="13" t="s">
        <v>24</v>
      </c>
      <c r="C18" s="13" t="s">
        <v>81</v>
      </c>
      <c r="D18" s="13" t="s">
        <v>89</v>
      </c>
      <c r="E18" s="13" t="s">
        <v>111</v>
      </c>
      <c r="F18" s="13" t="s">
        <v>18</v>
      </c>
      <c r="G18" s="5">
        <f>Indicators_Wide!I$3-Indicators_Wide!H$3</f>
        <v>5</v>
      </c>
      <c r="H18" s="14">
        <f>Indicators_Wide!H7</f>
        <v>122700</v>
      </c>
      <c r="I18" s="14">
        <f>Indicators_Wide!I7</f>
        <v>130500</v>
      </c>
      <c r="J18" s="14">
        <f t="shared" si="0"/>
        <v>7800</v>
      </c>
      <c r="K18" s="6">
        <f t="shared" si="1"/>
        <v>6.3569682151589202E-2</v>
      </c>
    </row>
    <row r="19" spans="1:11" x14ac:dyDescent="0.25">
      <c r="A19" s="13" t="s">
        <v>90</v>
      </c>
      <c r="B19" s="13" t="s">
        <v>26</v>
      </c>
      <c r="C19" s="13" t="s">
        <v>86</v>
      </c>
      <c r="D19" s="13" t="s">
        <v>87</v>
      </c>
      <c r="E19" s="13" t="s">
        <v>17</v>
      </c>
      <c r="F19" s="13" t="s">
        <v>64</v>
      </c>
      <c r="G19" s="5">
        <f>Indicators_Wide!F$3-Indicators_Wide!E$3</f>
        <v>5</v>
      </c>
      <c r="H19" s="15">
        <f>Indicators_Wide!E8</f>
        <v>8.1999999999999993</v>
      </c>
      <c r="I19" s="15">
        <f>Indicators_Wide!F8</f>
        <v>7.8</v>
      </c>
      <c r="J19" s="15">
        <f t="shared" si="0"/>
        <v>-0.39999999999999947</v>
      </c>
      <c r="K19" s="6">
        <f t="shared" si="1"/>
        <v>-4.8780487804877981E-2</v>
      </c>
    </row>
    <row r="20" spans="1:11" x14ac:dyDescent="0.25">
      <c r="A20" s="13" t="s">
        <v>90</v>
      </c>
      <c r="B20" s="13" t="s">
        <v>26</v>
      </c>
      <c r="C20" s="13" t="s">
        <v>86</v>
      </c>
      <c r="D20" s="13" t="s">
        <v>87</v>
      </c>
      <c r="E20" s="13" t="s">
        <v>64</v>
      </c>
      <c r="F20" s="13" t="s">
        <v>65</v>
      </c>
      <c r="G20" s="5">
        <f>Indicators_Wide!G$3-Indicators_Wide!F$3</f>
        <v>5</v>
      </c>
      <c r="H20" s="15">
        <f>Indicators_Wide!F8</f>
        <v>7.8</v>
      </c>
      <c r="I20" s="15">
        <f>Indicators_Wide!G8</f>
        <v>8.5</v>
      </c>
      <c r="J20" s="15">
        <f t="shared" si="0"/>
        <v>0.70000000000000018</v>
      </c>
      <c r="K20" s="6">
        <f t="shared" si="1"/>
        <v>8.9743589743589869E-2</v>
      </c>
    </row>
    <row r="21" spans="1:11" x14ac:dyDescent="0.25">
      <c r="A21" s="13" t="s">
        <v>90</v>
      </c>
      <c r="B21" s="13" t="s">
        <v>26</v>
      </c>
      <c r="C21" s="13" t="s">
        <v>86</v>
      </c>
      <c r="D21" s="13" t="s">
        <v>87</v>
      </c>
      <c r="E21" s="13" t="s">
        <v>65</v>
      </c>
      <c r="F21" s="13" t="s">
        <v>111</v>
      </c>
      <c r="G21" s="5">
        <f>Indicators_Wide!H$3-Indicators_Wide!G$3</f>
        <v>5</v>
      </c>
      <c r="H21" s="15">
        <f>Indicators_Wide!G8</f>
        <v>8.5</v>
      </c>
      <c r="I21" s="15">
        <f>Indicators_Wide!H8</f>
        <v>9.8000000000000007</v>
      </c>
      <c r="J21" s="15">
        <f t="shared" si="0"/>
        <v>1.3000000000000007</v>
      </c>
      <c r="K21" s="6">
        <f t="shared" si="1"/>
        <v>0.15294117647058836</v>
      </c>
    </row>
    <row r="22" spans="1:11" x14ac:dyDescent="0.25">
      <c r="A22" s="13" t="s">
        <v>90</v>
      </c>
      <c r="B22" s="13" t="s">
        <v>26</v>
      </c>
      <c r="C22" s="13" t="s">
        <v>86</v>
      </c>
      <c r="D22" s="13" t="s">
        <v>87</v>
      </c>
      <c r="E22" s="13" t="s">
        <v>111</v>
      </c>
      <c r="F22" s="13" t="s">
        <v>18</v>
      </c>
      <c r="G22" s="5">
        <f>Indicators_Wide!I$3-Indicators_Wide!H$3</f>
        <v>5</v>
      </c>
      <c r="H22" s="15">
        <f>Indicators_Wide!H8</f>
        <v>9.8000000000000007</v>
      </c>
      <c r="I22" s="15">
        <f>Indicators_Wide!I8</f>
        <v>10.3</v>
      </c>
      <c r="J22" s="15">
        <f t="shared" si="0"/>
        <v>0.5</v>
      </c>
      <c r="K22" s="6">
        <f t="shared" si="1"/>
        <v>5.1020408163265252E-2</v>
      </c>
    </row>
    <row r="23" spans="1:11" x14ac:dyDescent="0.25">
      <c r="A23" s="13" t="s">
        <v>91</v>
      </c>
      <c r="B23" s="13" t="s">
        <v>92</v>
      </c>
      <c r="C23" s="13" t="s">
        <v>93</v>
      </c>
      <c r="D23" s="13" t="s">
        <v>87</v>
      </c>
      <c r="E23" s="13" t="s">
        <v>17</v>
      </c>
      <c r="F23" s="13" t="s">
        <v>64</v>
      </c>
      <c r="G23" s="5">
        <f>Indicators_Wide!F$3-Indicators_Wide!E$3</f>
        <v>5</v>
      </c>
      <c r="H23" s="15">
        <f>Indicators_Wide!E9</f>
        <v>21</v>
      </c>
      <c r="I23" s="15">
        <f>Indicators_Wide!F9</f>
        <v>22.6</v>
      </c>
      <c r="J23" s="15">
        <f t="shared" si="0"/>
        <v>1.6000000000000014</v>
      </c>
      <c r="K23" s="6">
        <f t="shared" si="1"/>
        <v>7.6190476190476364E-2</v>
      </c>
    </row>
    <row r="24" spans="1:11" x14ac:dyDescent="0.25">
      <c r="A24" s="13" t="s">
        <v>91</v>
      </c>
      <c r="B24" s="13" t="s">
        <v>92</v>
      </c>
      <c r="C24" s="13" t="s">
        <v>93</v>
      </c>
      <c r="D24" s="13" t="s">
        <v>87</v>
      </c>
      <c r="E24" s="13" t="s">
        <v>64</v>
      </c>
      <c r="F24" s="13" t="s">
        <v>65</v>
      </c>
      <c r="G24" s="5">
        <f>Indicators_Wide!G$3-Indicators_Wide!F$3</f>
        <v>5</v>
      </c>
      <c r="H24" s="15">
        <f>Indicators_Wide!F9</f>
        <v>22.6</v>
      </c>
      <c r="I24" s="15">
        <f>Indicators_Wide!G9</f>
        <v>21.9</v>
      </c>
      <c r="J24" s="15">
        <f t="shared" si="0"/>
        <v>-0.70000000000000284</v>
      </c>
      <c r="K24" s="6">
        <f t="shared" si="1"/>
        <v>-3.0973451327433787E-2</v>
      </c>
    </row>
    <row r="25" spans="1:11" x14ac:dyDescent="0.25">
      <c r="A25" s="13" t="s">
        <v>91</v>
      </c>
      <c r="B25" s="13" t="s">
        <v>92</v>
      </c>
      <c r="C25" s="13" t="s">
        <v>93</v>
      </c>
      <c r="D25" s="13" t="s">
        <v>87</v>
      </c>
      <c r="E25" s="13" t="s">
        <v>65</v>
      </c>
      <c r="F25" s="13" t="s">
        <v>111</v>
      </c>
      <c r="G25" s="5">
        <f>Indicators_Wide!H$3-Indicators_Wide!G$3</f>
        <v>5</v>
      </c>
      <c r="H25" s="15">
        <f>Indicators_Wide!G9</f>
        <v>21.9</v>
      </c>
      <c r="I25" s="15">
        <f>Indicators_Wide!H9</f>
        <v>24</v>
      </c>
      <c r="J25" s="15">
        <f t="shared" si="0"/>
        <v>2.1000000000000014</v>
      </c>
      <c r="K25" s="6">
        <f t="shared" si="1"/>
        <v>9.5890410958904271E-2</v>
      </c>
    </row>
    <row r="26" spans="1:11" x14ac:dyDescent="0.25">
      <c r="A26" s="13" t="s">
        <v>91</v>
      </c>
      <c r="B26" s="13" t="s">
        <v>92</v>
      </c>
      <c r="C26" s="13" t="s">
        <v>93</v>
      </c>
      <c r="D26" s="13" t="s">
        <v>87</v>
      </c>
      <c r="E26" s="13" t="s">
        <v>111</v>
      </c>
      <c r="F26" s="13" t="s">
        <v>18</v>
      </c>
      <c r="G26" s="5">
        <f>Indicators_Wide!I$3-Indicators_Wide!H$3</f>
        <v>5</v>
      </c>
      <c r="H26" s="15">
        <f>Indicators_Wide!H9</f>
        <v>24</v>
      </c>
      <c r="I26" s="15">
        <f>Indicators_Wide!I9</f>
        <v>23.8</v>
      </c>
      <c r="J26" s="15">
        <f t="shared" si="0"/>
        <v>-0.19999999999999929</v>
      </c>
      <c r="K26" s="6">
        <f t="shared" si="1"/>
        <v>-8.3333333333333037E-3</v>
      </c>
    </row>
    <row r="27" spans="1:11" x14ac:dyDescent="0.25">
      <c r="A27" s="13" t="s">
        <v>95</v>
      </c>
      <c r="B27" s="13" t="s">
        <v>96</v>
      </c>
      <c r="C27" s="13" t="s">
        <v>93</v>
      </c>
      <c r="D27" s="13" t="s">
        <v>87</v>
      </c>
      <c r="E27" s="13" t="s">
        <v>17</v>
      </c>
      <c r="F27" s="13" t="s">
        <v>64</v>
      </c>
      <c r="G27" s="5">
        <f>Indicators_Wide!F$3-Indicators_Wide!E$3</f>
        <v>5</v>
      </c>
      <c r="H27" s="15">
        <f>Indicators_Wide!E10</f>
        <v>1.7</v>
      </c>
      <c r="I27" s="15">
        <f>Indicators_Wide!F10</f>
        <v>1.8</v>
      </c>
      <c r="J27" s="15">
        <f t="shared" si="0"/>
        <v>0.10000000000000009</v>
      </c>
      <c r="K27" s="6">
        <f t="shared" si="1"/>
        <v>5.8823529411764719E-2</v>
      </c>
    </row>
    <row r="28" spans="1:11" x14ac:dyDescent="0.25">
      <c r="A28" s="13" t="s">
        <v>95</v>
      </c>
      <c r="B28" s="13" t="s">
        <v>96</v>
      </c>
      <c r="C28" s="13" t="s">
        <v>93</v>
      </c>
      <c r="D28" s="13" t="s">
        <v>87</v>
      </c>
      <c r="E28" s="13" t="s">
        <v>64</v>
      </c>
      <c r="F28" s="13" t="s">
        <v>65</v>
      </c>
      <c r="G28" s="5">
        <f>Indicators_Wide!G$3-Indicators_Wide!F$3</f>
        <v>5</v>
      </c>
      <c r="H28" s="15">
        <f>Indicators_Wide!F10</f>
        <v>1.8</v>
      </c>
      <c r="I28" s="15">
        <f>Indicators_Wide!G10</f>
        <v>1.9</v>
      </c>
      <c r="J28" s="15">
        <f t="shared" si="0"/>
        <v>9.9999999999999867E-2</v>
      </c>
      <c r="K28" s="6">
        <f t="shared" si="1"/>
        <v>5.555555555555558E-2</v>
      </c>
    </row>
    <row r="29" spans="1:11" x14ac:dyDescent="0.25">
      <c r="A29" s="13" t="s">
        <v>95</v>
      </c>
      <c r="B29" s="13" t="s">
        <v>96</v>
      </c>
      <c r="C29" s="13" t="s">
        <v>93</v>
      </c>
      <c r="D29" s="13" t="s">
        <v>87</v>
      </c>
      <c r="E29" s="13" t="s">
        <v>65</v>
      </c>
      <c r="F29" s="13" t="s">
        <v>111</v>
      </c>
      <c r="G29" s="5">
        <f>Indicators_Wide!H$3-Indicators_Wide!G$3</f>
        <v>5</v>
      </c>
      <c r="H29" s="15">
        <f>Indicators_Wide!G10</f>
        <v>1.9</v>
      </c>
      <c r="I29" s="15">
        <f>Indicators_Wide!H10</f>
        <v>2.2999999999999998</v>
      </c>
      <c r="J29" s="15">
        <f t="shared" si="0"/>
        <v>0.39999999999999991</v>
      </c>
      <c r="K29" s="6">
        <f t="shared" si="1"/>
        <v>0.21052631578947367</v>
      </c>
    </row>
    <row r="30" spans="1:11" x14ac:dyDescent="0.25">
      <c r="A30" s="13" t="s">
        <v>95</v>
      </c>
      <c r="B30" s="13" t="s">
        <v>96</v>
      </c>
      <c r="C30" s="13" t="s">
        <v>93</v>
      </c>
      <c r="D30" s="13" t="s">
        <v>87</v>
      </c>
      <c r="E30" s="13" t="s">
        <v>111</v>
      </c>
      <c r="F30" s="13" t="s">
        <v>18</v>
      </c>
      <c r="G30" s="5">
        <f>Indicators_Wide!I$3-Indicators_Wide!H$3</f>
        <v>5</v>
      </c>
      <c r="H30" s="15">
        <f>Indicators_Wide!H10</f>
        <v>2.2999999999999998</v>
      </c>
      <c r="I30" s="15">
        <f>Indicators_Wide!I10</f>
        <v>2.4</v>
      </c>
      <c r="J30" s="15">
        <f t="shared" si="0"/>
        <v>0.10000000000000009</v>
      </c>
      <c r="K30" s="6">
        <f t="shared" si="1"/>
        <v>4.3478260869565188E-2</v>
      </c>
    </row>
    <row r="31" spans="1:11" x14ac:dyDescent="0.25">
      <c r="A31" s="13" t="s">
        <v>98</v>
      </c>
      <c r="B31" s="13" t="s">
        <v>28</v>
      </c>
      <c r="C31" s="13" t="s">
        <v>99</v>
      </c>
      <c r="D31" s="13" t="s">
        <v>100</v>
      </c>
      <c r="E31" s="13" t="s">
        <v>17</v>
      </c>
      <c r="F31" s="13" t="s">
        <v>64</v>
      </c>
      <c r="G31" s="5">
        <f>Indicators_Wide!F$3-Indicators_Wide!E$3</f>
        <v>5</v>
      </c>
      <c r="H31" s="14">
        <f>Indicators_Wide!E11</f>
        <v>300</v>
      </c>
      <c r="I31" s="14">
        <f>Indicators_Wide!F11</f>
        <v>450</v>
      </c>
      <c r="J31" s="14">
        <f t="shared" si="0"/>
        <v>150</v>
      </c>
      <c r="K31" s="6">
        <f t="shared" si="1"/>
        <v>0.5</v>
      </c>
    </row>
    <row r="32" spans="1:11" x14ac:dyDescent="0.25">
      <c r="A32" s="13" t="s">
        <v>98</v>
      </c>
      <c r="B32" s="13" t="s">
        <v>28</v>
      </c>
      <c r="C32" s="13" t="s">
        <v>99</v>
      </c>
      <c r="D32" s="13" t="s">
        <v>100</v>
      </c>
      <c r="E32" s="13" t="s">
        <v>64</v>
      </c>
      <c r="F32" s="13" t="s">
        <v>65</v>
      </c>
      <c r="G32" s="5">
        <f>Indicators_Wide!G$3-Indicators_Wide!F$3</f>
        <v>5</v>
      </c>
      <c r="H32" s="14">
        <f>Indicators_Wide!F11</f>
        <v>450</v>
      </c>
      <c r="I32" s="14">
        <f>Indicators_Wide!G11</f>
        <v>700</v>
      </c>
      <c r="J32" s="14">
        <f t="shared" si="0"/>
        <v>250</v>
      </c>
      <c r="K32" s="6">
        <f t="shared" si="1"/>
        <v>0.55555555555555558</v>
      </c>
    </row>
    <row r="33" spans="1:11" x14ac:dyDescent="0.25">
      <c r="A33" s="13" t="s">
        <v>98</v>
      </c>
      <c r="B33" s="13" t="s">
        <v>28</v>
      </c>
      <c r="C33" s="13" t="s">
        <v>99</v>
      </c>
      <c r="D33" s="13" t="s">
        <v>100</v>
      </c>
      <c r="E33" s="13" t="s">
        <v>65</v>
      </c>
      <c r="F33" s="13" t="s">
        <v>111</v>
      </c>
      <c r="G33" s="5">
        <f>Indicators_Wide!H$3-Indicators_Wide!G$3</f>
        <v>5</v>
      </c>
      <c r="H33" s="14">
        <f>Indicators_Wide!G11</f>
        <v>700</v>
      </c>
      <c r="I33" s="14">
        <f>Indicators_Wide!H11</f>
        <v>1300</v>
      </c>
      <c r="J33" s="14">
        <f t="shared" si="0"/>
        <v>600</v>
      </c>
      <c r="K33" s="6">
        <f t="shared" si="1"/>
        <v>0.85714285714285721</v>
      </c>
    </row>
    <row r="34" spans="1:11" x14ac:dyDescent="0.25">
      <c r="A34" s="13" t="s">
        <v>98</v>
      </c>
      <c r="B34" s="13" t="s">
        <v>28</v>
      </c>
      <c r="C34" s="13" t="s">
        <v>99</v>
      </c>
      <c r="D34" s="13" t="s">
        <v>100</v>
      </c>
      <c r="E34" s="13" t="s">
        <v>111</v>
      </c>
      <c r="F34" s="13" t="s">
        <v>18</v>
      </c>
      <c r="G34" s="5">
        <f>Indicators_Wide!I$3-Indicators_Wide!H$3</f>
        <v>5</v>
      </c>
      <c r="H34" s="14">
        <f>Indicators_Wide!H11</f>
        <v>1300</v>
      </c>
      <c r="I34" s="14">
        <f>Indicators_Wide!I11</f>
        <v>1900</v>
      </c>
      <c r="J34" s="14">
        <f t="shared" si="0"/>
        <v>600</v>
      </c>
      <c r="K34" s="6">
        <f t="shared" si="1"/>
        <v>0.46153846153846145</v>
      </c>
    </row>
  </sheetData>
  <mergeCells count="1">
    <mergeCell ref="A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3"/>
  <sheetViews>
    <sheetView showGridLines="0" tabSelected="1" topLeftCell="A9" workbookViewId="0">
      <selection activeCell="K46" sqref="K46"/>
    </sheetView>
  </sheetViews>
  <sheetFormatPr defaultRowHeight="15" x14ac:dyDescent="0.25"/>
  <cols>
    <col min="1" max="1" width="38" customWidth="1"/>
    <col min="2" max="6" width="12" customWidth="1"/>
    <col min="8" max="8" width="2" customWidth="1"/>
  </cols>
  <sheetData>
    <row r="1" spans="1:8" ht="19.5" x14ac:dyDescent="0.3">
      <c r="A1" s="53" t="s">
        <v>118</v>
      </c>
      <c r="B1" s="51"/>
      <c r="C1" s="51"/>
      <c r="D1" s="51"/>
      <c r="E1" s="51"/>
      <c r="F1" s="51"/>
      <c r="G1" s="51"/>
      <c r="H1" s="51"/>
    </row>
    <row r="3" spans="1:8" x14ac:dyDescent="0.25">
      <c r="A3" s="50" t="s">
        <v>119</v>
      </c>
      <c r="B3" s="51"/>
      <c r="C3" s="51"/>
      <c r="D3" s="51"/>
      <c r="E3" s="51"/>
      <c r="F3" s="51"/>
    </row>
    <row r="4" spans="1:8" x14ac:dyDescent="0.25">
      <c r="A4" t="s">
        <v>16</v>
      </c>
      <c r="B4" t="s">
        <v>17</v>
      </c>
      <c r="C4" t="s">
        <v>64</v>
      </c>
      <c r="D4" t="s">
        <v>65</v>
      </c>
      <c r="E4" t="s">
        <v>111</v>
      </c>
      <c r="F4" t="s">
        <v>18</v>
      </c>
    </row>
    <row r="5" spans="1:8" x14ac:dyDescent="0.25">
      <c r="A5" t="str">
        <f>Indicators_Wide!B4</f>
        <v>Relative poverty line (Rs) per adult equivalent per month</v>
      </c>
      <c r="B5">
        <f>Indicators_Wide!E4</f>
        <v>2004</v>
      </c>
      <c r="C5">
        <f>Indicators_Wide!F4</f>
        <v>2804</v>
      </c>
      <c r="D5">
        <f>Indicators_Wide!G4</f>
        <v>3821</v>
      </c>
      <c r="E5">
        <f>Indicators_Wide!H4</f>
        <v>5652</v>
      </c>
      <c r="F5">
        <f>Indicators_Wide!I4</f>
        <v>7497</v>
      </c>
    </row>
    <row r="6" spans="1:8" x14ac:dyDescent="0.25">
      <c r="A6" t="str">
        <f>Indicators_Wide!B11</f>
        <v>Annual amount required to move people out of relative poverty (Rs Mn)</v>
      </c>
      <c r="B6">
        <f>Indicators_Wide!E11</f>
        <v>300</v>
      </c>
      <c r="C6">
        <f>Indicators_Wide!F11</f>
        <v>450</v>
      </c>
      <c r="D6">
        <f>Indicators_Wide!G11</f>
        <v>700</v>
      </c>
      <c r="E6">
        <f>Indicators_Wide!H11</f>
        <v>1300</v>
      </c>
      <c r="F6">
        <f>Indicators_Wide!I11</f>
        <v>1900</v>
      </c>
    </row>
    <row r="22" spans="1:6" x14ac:dyDescent="0.25">
      <c r="A22" s="50" t="s">
        <v>120</v>
      </c>
      <c r="B22" s="51"/>
      <c r="C22" s="51"/>
      <c r="D22" s="51"/>
      <c r="E22" s="51"/>
      <c r="F22" s="51"/>
    </row>
    <row r="23" spans="1:6" x14ac:dyDescent="0.25">
      <c r="A23" t="s">
        <v>16</v>
      </c>
      <c r="B23" t="s">
        <v>17</v>
      </c>
      <c r="C23" t="s">
        <v>64</v>
      </c>
      <c r="D23" t="s">
        <v>65</v>
      </c>
      <c r="E23" t="s">
        <v>111</v>
      </c>
      <c r="F23" t="s">
        <v>18</v>
      </c>
    </row>
    <row r="24" spans="1:6" x14ac:dyDescent="0.25">
      <c r="A24" t="str">
        <f>Indicators_Wide!B5</f>
        <v>Estimated number of households in relative poverty</v>
      </c>
      <c r="B24">
        <f>Indicators_Wide!E5</f>
        <v>23800</v>
      </c>
      <c r="C24">
        <f>Indicators_Wide!F5</f>
        <v>23700</v>
      </c>
      <c r="D24">
        <f>Indicators_Wide!G5</f>
        <v>26100</v>
      </c>
      <c r="E24">
        <f>Indicators_Wide!H5</f>
        <v>33600</v>
      </c>
      <c r="F24">
        <f>Indicators_Wide!I5</f>
        <v>36100</v>
      </c>
    </row>
    <row r="25" spans="1:6" x14ac:dyDescent="0.25">
      <c r="A25" t="str">
        <f>Indicators_Wide!B7</f>
        <v>Estimated number of persons in relative poverty</v>
      </c>
      <c r="B25">
        <f>Indicators_Wide!E7</f>
        <v>92700</v>
      </c>
      <c r="C25">
        <f>Indicators_Wide!F7</f>
        <v>93800</v>
      </c>
      <c r="D25">
        <f>Indicators_Wide!G7</f>
        <v>105200</v>
      </c>
      <c r="E25">
        <f>Indicators_Wide!H7</f>
        <v>122700</v>
      </c>
      <c r="F25">
        <f>Indicators_Wide!I7</f>
        <v>130500</v>
      </c>
    </row>
    <row r="41" spans="1:6" x14ac:dyDescent="0.25">
      <c r="A41" s="50" t="s">
        <v>121</v>
      </c>
      <c r="B41" s="51"/>
      <c r="C41" s="51"/>
      <c r="D41" s="51"/>
      <c r="E41" s="51"/>
      <c r="F41" s="51"/>
    </row>
    <row r="42" spans="1:6" x14ac:dyDescent="0.25">
      <c r="A42" t="s">
        <v>16</v>
      </c>
      <c r="B42" t="s">
        <v>17</v>
      </c>
      <c r="C42" t="s">
        <v>64</v>
      </c>
      <c r="D42" t="s">
        <v>65</v>
      </c>
      <c r="E42" t="s">
        <v>111</v>
      </c>
      <c r="F42" t="s">
        <v>18</v>
      </c>
    </row>
    <row r="43" spans="1:6" x14ac:dyDescent="0.25">
      <c r="A43" t="str">
        <f>Indicators_Wide!B6</f>
        <v>Proportion of households in relative poverty (%)</v>
      </c>
      <c r="B43">
        <f>Indicators_Wide!E6</f>
        <v>8.6999999999999993</v>
      </c>
      <c r="C43">
        <f>Indicators_Wide!F6</f>
        <v>7.7</v>
      </c>
      <c r="D43">
        <f>Indicators_Wide!G6</f>
        <v>7.9</v>
      </c>
      <c r="E43">
        <f>Indicators_Wide!H6</f>
        <v>9.4</v>
      </c>
      <c r="F43">
        <f>Indicators_Wide!I6</f>
        <v>9.4</v>
      </c>
    </row>
    <row r="44" spans="1:6" x14ac:dyDescent="0.25">
      <c r="A44" t="str">
        <f>Indicators_Wide!B8</f>
        <v>Proportion of persons in relative poverty (%)</v>
      </c>
      <c r="B44">
        <f>Indicators_Wide!E8</f>
        <v>8.1999999999999993</v>
      </c>
      <c r="C44">
        <f>Indicators_Wide!F8</f>
        <v>7.8</v>
      </c>
      <c r="D44">
        <f>Indicators_Wide!G8</f>
        <v>8.5</v>
      </c>
      <c r="E44">
        <f>Indicators_Wide!H8</f>
        <v>9.8000000000000007</v>
      </c>
      <c r="F44">
        <f>Indicators_Wide!I8</f>
        <v>10.3</v>
      </c>
    </row>
    <row r="60" spans="1:6" x14ac:dyDescent="0.25">
      <c r="A60" s="50" t="s">
        <v>122</v>
      </c>
      <c r="B60" s="51"/>
      <c r="C60" s="51"/>
      <c r="D60" s="51"/>
      <c r="E60" s="51"/>
      <c r="F60" s="51"/>
    </row>
    <row r="61" spans="1:6" x14ac:dyDescent="0.25">
      <c r="A61" t="s">
        <v>16</v>
      </c>
      <c r="B61" t="s">
        <v>17</v>
      </c>
      <c r="C61" t="s">
        <v>64</v>
      </c>
      <c r="D61" t="s">
        <v>65</v>
      </c>
      <c r="E61" t="s">
        <v>111</v>
      </c>
      <c r="F61" t="s">
        <v>18</v>
      </c>
    </row>
    <row r="62" spans="1:6" x14ac:dyDescent="0.25">
      <c r="A62" t="str">
        <f>Indicators_Wide!B9</f>
        <v>Income gap ratio (%)</v>
      </c>
      <c r="B62">
        <f>Indicators_Wide!E9</f>
        <v>21</v>
      </c>
      <c r="C62">
        <f>Indicators_Wide!F9</f>
        <v>22.6</v>
      </c>
      <c r="D62">
        <f>Indicators_Wide!G9</f>
        <v>21.9</v>
      </c>
      <c r="E62">
        <f>Indicators_Wide!H9</f>
        <v>24</v>
      </c>
      <c r="F62">
        <f>Indicators_Wide!I9</f>
        <v>23.8</v>
      </c>
    </row>
    <row r="63" spans="1:6" x14ac:dyDescent="0.25">
      <c r="A63" t="str">
        <f>Indicators_Wide!B10</f>
        <v>Poverty gap ratio (%)</v>
      </c>
      <c r="B63">
        <f>Indicators_Wide!E10</f>
        <v>1.7</v>
      </c>
      <c r="C63">
        <f>Indicators_Wide!F10</f>
        <v>1.8</v>
      </c>
      <c r="D63">
        <f>Indicators_Wide!G10</f>
        <v>1.9</v>
      </c>
      <c r="E63">
        <f>Indicators_Wide!H10</f>
        <v>2.2999999999999998</v>
      </c>
      <c r="F63">
        <f>Indicators_Wide!I10</f>
        <v>2.4</v>
      </c>
    </row>
  </sheetData>
  <mergeCells count="5">
    <mergeCell ref="A41:F41"/>
    <mergeCell ref="A60:F60"/>
    <mergeCell ref="A22:F22"/>
    <mergeCell ref="A1:H1"/>
    <mergeCell ref="A3:F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3"/>
  <sheetViews>
    <sheetView showGridLines="0" workbookViewId="0">
      <selection sqref="A1:D1"/>
    </sheetView>
  </sheetViews>
  <sheetFormatPr defaultRowHeight="15" x14ac:dyDescent="0.25"/>
  <cols>
    <col min="1" max="1" width="10" customWidth="1"/>
    <col min="2" max="2" width="34" customWidth="1"/>
    <col min="3" max="3" width="115" customWidth="1"/>
    <col min="4" max="4" width="30" customWidth="1"/>
  </cols>
  <sheetData>
    <row r="1" spans="1:4" ht="19.5" x14ac:dyDescent="0.3">
      <c r="A1" s="53" t="s">
        <v>123</v>
      </c>
      <c r="B1" s="51"/>
      <c r="C1" s="51"/>
      <c r="D1" s="51"/>
    </row>
    <row r="2" spans="1:4" ht="30" x14ac:dyDescent="0.25">
      <c r="A2" s="3" t="s">
        <v>124</v>
      </c>
      <c r="B2" s="3" t="s">
        <v>125</v>
      </c>
      <c r="C2" s="3" t="s">
        <v>126</v>
      </c>
      <c r="D2" s="3" t="s">
        <v>127</v>
      </c>
    </row>
    <row r="3" spans="1:4" ht="45" x14ac:dyDescent="0.25">
      <c r="A3" s="7" t="s">
        <v>128</v>
      </c>
      <c r="B3" s="7" t="s">
        <v>129</v>
      </c>
      <c r="C3" s="7" t="s">
        <v>130</v>
      </c>
      <c r="D3" s="7" t="s">
        <v>131</v>
      </c>
    </row>
    <row r="4" spans="1:4" ht="30" x14ac:dyDescent="0.25">
      <c r="A4" s="7" t="s">
        <v>132</v>
      </c>
      <c r="B4" s="7" t="s">
        <v>133</v>
      </c>
      <c r="C4" s="7" t="s">
        <v>134</v>
      </c>
      <c r="D4" s="7" t="s">
        <v>109</v>
      </c>
    </row>
    <row r="5" spans="1:4" ht="30" x14ac:dyDescent="0.25">
      <c r="A5" s="7" t="s">
        <v>135</v>
      </c>
      <c r="B5" s="7" t="s">
        <v>136</v>
      </c>
      <c r="C5" s="7" t="s">
        <v>137</v>
      </c>
      <c r="D5" s="7" t="s">
        <v>109</v>
      </c>
    </row>
    <row r="6" spans="1:4" ht="105" x14ac:dyDescent="0.25">
      <c r="A6" s="7" t="s">
        <v>138</v>
      </c>
      <c r="B6" s="7" t="s">
        <v>139</v>
      </c>
      <c r="C6" s="7" t="s">
        <v>140</v>
      </c>
      <c r="D6" s="7" t="s">
        <v>109</v>
      </c>
    </row>
    <row r="7" spans="1:4" ht="30" x14ac:dyDescent="0.25">
      <c r="A7" s="7" t="s">
        <v>141</v>
      </c>
      <c r="B7" s="7" t="s">
        <v>83</v>
      </c>
      <c r="C7" s="7" t="s">
        <v>142</v>
      </c>
      <c r="D7" s="7" t="s">
        <v>109</v>
      </c>
    </row>
    <row r="8" spans="1:4" ht="60" x14ac:dyDescent="0.25">
      <c r="A8" s="7" t="s">
        <v>143</v>
      </c>
      <c r="B8" s="7" t="s">
        <v>94</v>
      </c>
      <c r="C8" s="7" t="s">
        <v>144</v>
      </c>
      <c r="D8" s="7" t="s">
        <v>145</v>
      </c>
    </row>
    <row r="9" spans="1:4" ht="120" x14ac:dyDescent="0.25">
      <c r="A9" s="7" t="s">
        <v>146</v>
      </c>
      <c r="B9" s="7" t="s">
        <v>97</v>
      </c>
      <c r="C9" s="7" t="s">
        <v>147</v>
      </c>
      <c r="D9" s="7" t="s">
        <v>145</v>
      </c>
    </row>
    <row r="10" spans="1:4" ht="45" x14ac:dyDescent="0.25">
      <c r="A10" s="7" t="s">
        <v>148</v>
      </c>
      <c r="B10" s="7" t="s">
        <v>149</v>
      </c>
      <c r="C10" s="7" t="s">
        <v>150</v>
      </c>
      <c r="D10" s="7" t="s">
        <v>131</v>
      </c>
    </row>
    <row r="11" spans="1:4" ht="270" x14ac:dyDescent="0.25">
      <c r="A11" s="7" t="s">
        <v>151</v>
      </c>
      <c r="B11" s="7" t="s">
        <v>152</v>
      </c>
      <c r="C11" s="7" t="s">
        <v>153</v>
      </c>
      <c r="D11" s="7" t="s">
        <v>131</v>
      </c>
    </row>
    <row r="12" spans="1:4" ht="90" x14ac:dyDescent="0.25">
      <c r="A12" s="7" t="s">
        <v>154</v>
      </c>
      <c r="B12" s="7" t="s">
        <v>155</v>
      </c>
      <c r="C12" s="7" t="s">
        <v>156</v>
      </c>
      <c r="D12" s="7" t="s">
        <v>131</v>
      </c>
    </row>
    <row r="13" spans="1:4" ht="75" x14ac:dyDescent="0.25">
      <c r="A13" s="7" t="s">
        <v>157</v>
      </c>
      <c r="B13" s="7" t="s">
        <v>158</v>
      </c>
      <c r="C13" s="7" t="s">
        <v>159</v>
      </c>
      <c r="D13" s="7" t="s">
        <v>109</v>
      </c>
    </row>
    <row r="14" spans="1:4" ht="150" x14ac:dyDescent="0.25">
      <c r="A14" s="7" t="s">
        <v>160</v>
      </c>
      <c r="B14" s="7" t="s">
        <v>161</v>
      </c>
      <c r="C14" s="7" t="s">
        <v>162</v>
      </c>
      <c r="D14" s="7" t="s">
        <v>109</v>
      </c>
    </row>
    <row r="15" spans="1:4" ht="60" x14ac:dyDescent="0.25">
      <c r="A15" s="7" t="s">
        <v>163</v>
      </c>
      <c r="B15" s="7" t="s">
        <v>164</v>
      </c>
      <c r="C15" s="7" t="s">
        <v>165</v>
      </c>
      <c r="D15" s="7" t="s">
        <v>109</v>
      </c>
    </row>
    <row r="16" spans="1:4" ht="120" x14ac:dyDescent="0.25">
      <c r="A16" s="7" t="s">
        <v>166</v>
      </c>
      <c r="B16" s="7" t="s">
        <v>167</v>
      </c>
      <c r="C16" s="7" t="s">
        <v>168</v>
      </c>
      <c r="D16" s="7" t="s">
        <v>109</v>
      </c>
    </row>
    <row r="17" spans="1:4" ht="90" x14ac:dyDescent="0.25">
      <c r="A17" s="7" t="s">
        <v>169</v>
      </c>
      <c r="B17" s="7" t="s">
        <v>82</v>
      </c>
      <c r="C17" s="7" t="s">
        <v>170</v>
      </c>
      <c r="D17" s="7" t="s">
        <v>109</v>
      </c>
    </row>
    <row r="18" spans="1:4" ht="45" x14ac:dyDescent="0.25">
      <c r="A18" s="7" t="s">
        <v>171</v>
      </c>
      <c r="B18" s="7" t="s">
        <v>172</v>
      </c>
      <c r="C18" s="7" t="s">
        <v>173</v>
      </c>
      <c r="D18" s="7" t="s">
        <v>109</v>
      </c>
    </row>
    <row r="19" spans="1:4" ht="60" x14ac:dyDescent="0.25">
      <c r="A19" s="7" t="s">
        <v>174</v>
      </c>
      <c r="B19" s="7" t="s">
        <v>175</v>
      </c>
      <c r="C19" s="7" t="s">
        <v>176</v>
      </c>
      <c r="D19" s="7" t="s">
        <v>109</v>
      </c>
    </row>
    <row r="20" spans="1:4" ht="120" x14ac:dyDescent="0.25">
      <c r="A20" s="7" t="s">
        <v>177</v>
      </c>
      <c r="B20" s="7" t="s">
        <v>178</v>
      </c>
      <c r="C20" s="7" t="s">
        <v>179</v>
      </c>
      <c r="D20" s="7" t="s">
        <v>109</v>
      </c>
    </row>
    <row r="21" spans="1:4" x14ac:dyDescent="0.25">
      <c r="A21" s="7" t="s">
        <v>180</v>
      </c>
      <c r="B21" s="7" t="s">
        <v>181</v>
      </c>
      <c r="C21" s="7" t="s">
        <v>182</v>
      </c>
      <c r="D21" s="7" t="s">
        <v>109</v>
      </c>
    </row>
    <row r="22" spans="1:4" ht="210" x14ac:dyDescent="0.25">
      <c r="A22" s="7" t="s">
        <v>183</v>
      </c>
      <c r="B22" s="7" t="s">
        <v>184</v>
      </c>
      <c r="C22" s="7" t="s">
        <v>185</v>
      </c>
      <c r="D22" s="7" t="s">
        <v>186</v>
      </c>
    </row>
    <row r="23" spans="1:4" ht="409.5" x14ac:dyDescent="0.25">
      <c r="A23" s="7" t="s">
        <v>187</v>
      </c>
      <c r="B23" s="7" t="s">
        <v>188</v>
      </c>
      <c r="C23" s="7" t="s">
        <v>189</v>
      </c>
      <c r="D23" s="7" t="s">
        <v>186</v>
      </c>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1"/>
  <sheetViews>
    <sheetView showGridLines="0" topLeftCell="A8" workbookViewId="0">
      <selection sqref="A1:J1"/>
    </sheetView>
  </sheetViews>
  <sheetFormatPr defaultRowHeight="15" x14ac:dyDescent="0.25"/>
  <cols>
    <col min="1" max="1" width="24" customWidth="1"/>
    <col min="2" max="2" width="22" customWidth="1"/>
    <col min="3" max="3" width="26" customWidth="1"/>
    <col min="4" max="4" width="14" customWidth="1"/>
    <col min="5" max="5" width="22" customWidth="1"/>
    <col min="6" max="6" width="24" customWidth="1"/>
    <col min="7" max="7" width="14" customWidth="1"/>
    <col min="8" max="8" width="18" customWidth="1"/>
    <col min="9" max="10" width="16" customWidth="1"/>
  </cols>
  <sheetData>
    <row r="1" spans="1:10" ht="19.5" x14ac:dyDescent="0.3">
      <c r="A1" s="53" t="s">
        <v>190</v>
      </c>
      <c r="B1" s="51"/>
      <c r="C1" s="51"/>
      <c r="D1" s="51"/>
      <c r="E1" s="51"/>
      <c r="F1" s="51"/>
      <c r="G1" s="51"/>
      <c r="H1" s="51"/>
      <c r="I1" s="51"/>
      <c r="J1" s="51"/>
    </row>
    <row r="3" spans="1:10" x14ac:dyDescent="0.25">
      <c r="A3" s="50" t="s">
        <v>191</v>
      </c>
      <c r="B3" s="51"/>
      <c r="C3" s="51"/>
      <c r="D3" s="51"/>
      <c r="F3" s="50" t="s">
        <v>192</v>
      </c>
      <c r="G3" s="51"/>
      <c r="H3" s="51"/>
      <c r="I3" s="51"/>
    </row>
    <row r="4" spans="1:10" x14ac:dyDescent="0.25">
      <c r="A4" s="3" t="s">
        <v>193</v>
      </c>
      <c r="B4" s="3" t="s">
        <v>194</v>
      </c>
      <c r="C4" s="3" t="s">
        <v>195</v>
      </c>
      <c r="D4" s="3" t="s">
        <v>196</v>
      </c>
      <c r="F4" s="3" t="s">
        <v>197</v>
      </c>
      <c r="G4" s="3" t="s">
        <v>107</v>
      </c>
      <c r="H4" s="3" t="s">
        <v>63</v>
      </c>
      <c r="I4" s="3" t="s">
        <v>198</v>
      </c>
    </row>
    <row r="5" spans="1:10" ht="90" x14ac:dyDescent="0.25">
      <c r="A5" s="7" t="s">
        <v>129</v>
      </c>
      <c r="B5" s="7" t="s">
        <v>199</v>
      </c>
      <c r="C5" s="7" t="s">
        <v>129</v>
      </c>
      <c r="D5" s="7" t="s">
        <v>200</v>
      </c>
      <c r="F5" s="7" t="s">
        <v>201</v>
      </c>
      <c r="G5" s="16">
        <v>18.285399999999999</v>
      </c>
      <c r="H5" s="7" t="s">
        <v>202</v>
      </c>
      <c r="I5" s="7" t="s">
        <v>158</v>
      </c>
    </row>
    <row r="6" spans="1:10" ht="45" x14ac:dyDescent="0.25">
      <c r="A6" s="7" t="s">
        <v>139</v>
      </c>
      <c r="B6" s="7" t="s">
        <v>203</v>
      </c>
      <c r="C6" s="7" t="s">
        <v>139</v>
      </c>
      <c r="D6" s="7" t="s">
        <v>204</v>
      </c>
      <c r="F6" s="7" t="s">
        <v>205</v>
      </c>
      <c r="G6" s="16">
        <v>1.9</v>
      </c>
      <c r="H6" s="7" t="s">
        <v>206</v>
      </c>
      <c r="I6" s="7" t="s">
        <v>207</v>
      </c>
    </row>
    <row r="7" spans="1:10" ht="60" x14ac:dyDescent="0.25">
      <c r="A7" s="7" t="s">
        <v>208</v>
      </c>
      <c r="B7" s="7" t="s">
        <v>209</v>
      </c>
      <c r="C7" s="7" t="s">
        <v>97</v>
      </c>
      <c r="D7" s="7" t="s">
        <v>210</v>
      </c>
      <c r="F7" s="7" t="s">
        <v>211</v>
      </c>
      <c r="G7" s="16">
        <v>5.5</v>
      </c>
      <c r="H7" s="7" t="s">
        <v>206</v>
      </c>
      <c r="I7" s="7" t="s">
        <v>155</v>
      </c>
    </row>
    <row r="8" spans="1:10" ht="90" x14ac:dyDescent="0.25">
      <c r="A8" s="7" t="s">
        <v>212</v>
      </c>
      <c r="B8" s="7" t="s">
        <v>213</v>
      </c>
      <c r="C8" s="7" t="s">
        <v>97</v>
      </c>
      <c r="D8" s="7" t="s">
        <v>214</v>
      </c>
      <c r="F8" s="7" t="s">
        <v>215</v>
      </c>
      <c r="G8" s="16">
        <v>1.177</v>
      </c>
      <c r="H8" s="7" t="s">
        <v>216</v>
      </c>
      <c r="I8" s="7" t="s">
        <v>217</v>
      </c>
    </row>
    <row r="9" spans="1:10" ht="60" x14ac:dyDescent="0.25">
      <c r="A9" s="7" t="s">
        <v>218</v>
      </c>
      <c r="B9" s="7" t="s">
        <v>219</v>
      </c>
      <c r="C9" s="7" t="s">
        <v>188</v>
      </c>
      <c r="D9" s="7" t="s">
        <v>220</v>
      </c>
      <c r="F9" s="7" t="s">
        <v>221</v>
      </c>
      <c r="G9" s="16">
        <v>1245</v>
      </c>
      <c r="H9" s="7" t="s">
        <v>222</v>
      </c>
      <c r="I9" s="7" t="s">
        <v>217</v>
      </c>
    </row>
    <row r="10" spans="1:10" ht="60" x14ac:dyDescent="0.25">
      <c r="A10" s="7" t="s">
        <v>223</v>
      </c>
      <c r="B10" s="7" t="s">
        <v>224</v>
      </c>
      <c r="C10" s="7" t="s">
        <v>188</v>
      </c>
      <c r="D10" s="7" t="s">
        <v>225</v>
      </c>
      <c r="F10" s="7" t="s">
        <v>226</v>
      </c>
      <c r="G10" s="16">
        <v>0.8</v>
      </c>
      <c r="H10" s="7" t="s">
        <v>218</v>
      </c>
      <c r="I10" s="7" t="s">
        <v>184</v>
      </c>
    </row>
    <row r="11" spans="1:10" ht="45" x14ac:dyDescent="0.25">
      <c r="F11" s="7" t="s">
        <v>227</v>
      </c>
      <c r="G11" s="16">
        <v>0.69899999999999995</v>
      </c>
      <c r="H11" s="7" t="s">
        <v>218</v>
      </c>
      <c r="I11" s="7" t="s">
        <v>184</v>
      </c>
    </row>
    <row r="12" spans="1:10" ht="45" x14ac:dyDescent="0.25">
      <c r="F12" s="7" t="s">
        <v>228</v>
      </c>
      <c r="G12" s="16">
        <v>0.54900000000000004</v>
      </c>
      <c r="H12" s="7" t="s">
        <v>218</v>
      </c>
      <c r="I12" s="7" t="s">
        <v>184</v>
      </c>
    </row>
    <row r="13" spans="1:10" x14ac:dyDescent="0.25">
      <c r="A13" s="50" t="s">
        <v>229</v>
      </c>
      <c r="B13" s="51"/>
      <c r="C13" s="51"/>
      <c r="D13" s="51"/>
      <c r="E13" s="51"/>
    </row>
    <row r="14" spans="1:10" x14ac:dyDescent="0.25">
      <c r="A14" s="3" t="s">
        <v>230</v>
      </c>
      <c r="B14" s="3" t="s">
        <v>231</v>
      </c>
      <c r="C14" s="3" t="s">
        <v>232</v>
      </c>
      <c r="D14" s="3" t="s">
        <v>107</v>
      </c>
      <c r="E14" s="3" t="s">
        <v>63</v>
      </c>
    </row>
    <row r="15" spans="1:10" x14ac:dyDescent="0.25">
      <c r="A15" t="s">
        <v>233</v>
      </c>
      <c r="B15" t="s">
        <v>234</v>
      </c>
      <c r="C15" s="4">
        <v>1.9</v>
      </c>
      <c r="D15" s="17">
        <f t="shared" ref="D15:D20" si="0">C15</f>
        <v>1.9</v>
      </c>
      <c r="E15" t="s">
        <v>235</v>
      </c>
    </row>
    <row r="16" spans="1:10" x14ac:dyDescent="0.25">
      <c r="A16" t="s">
        <v>233</v>
      </c>
      <c r="B16" t="s">
        <v>201</v>
      </c>
      <c r="C16" s="4">
        <v>18.285399999999999</v>
      </c>
      <c r="D16" s="17">
        <f t="shared" si="0"/>
        <v>18.285399999999999</v>
      </c>
      <c r="E16" t="s">
        <v>202</v>
      </c>
    </row>
    <row r="17" spans="1:8" x14ac:dyDescent="0.25">
      <c r="A17" t="s">
        <v>236</v>
      </c>
      <c r="B17" t="s">
        <v>237</v>
      </c>
      <c r="C17" s="5">
        <f>C15*C16</f>
        <v>34.742259999999995</v>
      </c>
      <c r="D17" s="17">
        <f t="shared" si="0"/>
        <v>34.742259999999995</v>
      </c>
      <c r="E17" t="s">
        <v>238</v>
      </c>
    </row>
    <row r="18" spans="1:8" x14ac:dyDescent="0.25">
      <c r="A18" t="s">
        <v>233</v>
      </c>
      <c r="B18" t="s">
        <v>239</v>
      </c>
      <c r="C18" s="4">
        <v>1.177</v>
      </c>
      <c r="D18" s="17">
        <f t="shared" si="0"/>
        <v>1.177</v>
      </c>
      <c r="E18" t="s">
        <v>216</v>
      </c>
    </row>
    <row r="19" spans="1:8" x14ac:dyDescent="0.25">
      <c r="A19" t="s">
        <v>236</v>
      </c>
      <c r="B19" t="s">
        <v>240</v>
      </c>
      <c r="C19" s="5">
        <f>D17*C18</f>
        <v>40.891640019999997</v>
      </c>
      <c r="D19" s="17">
        <f t="shared" si="0"/>
        <v>40.891640019999997</v>
      </c>
      <c r="E19" t="s">
        <v>238</v>
      </c>
    </row>
    <row r="20" spans="1:8" x14ac:dyDescent="0.25">
      <c r="A20" t="s">
        <v>236</v>
      </c>
      <c r="B20" t="s">
        <v>241</v>
      </c>
      <c r="C20" s="5">
        <f>D19*365/12</f>
        <v>1243.7873839416666</v>
      </c>
      <c r="D20" s="17">
        <f t="shared" si="0"/>
        <v>1243.7873839416666</v>
      </c>
      <c r="E20" t="s">
        <v>242</v>
      </c>
    </row>
    <row r="23" spans="1:8" x14ac:dyDescent="0.25">
      <c r="A23" s="50" t="s">
        <v>243</v>
      </c>
      <c r="B23" s="51"/>
      <c r="C23" s="51"/>
      <c r="D23" s="51"/>
      <c r="E23" s="51"/>
      <c r="F23" s="51"/>
      <c r="G23" s="51"/>
      <c r="H23" s="51"/>
    </row>
    <row r="24" spans="1:8" x14ac:dyDescent="0.25">
      <c r="A24" s="3" t="s">
        <v>244</v>
      </c>
      <c r="B24" s="3" t="s">
        <v>245</v>
      </c>
      <c r="C24" s="3" t="s">
        <v>246</v>
      </c>
      <c r="D24" s="3" t="s">
        <v>247</v>
      </c>
      <c r="E24" s="3" t="s">
        <v>248</v>
      </c>
      <c r="F24" s="3" t="s">
        <v>249</v>
      </c>
      <c r="G24" s="3" t="s">
        <v>63</v>
      </c>
      <c r="H24" s="3" t="s">
        <v>196</v>
      </c>
    </row>
    <row r="25" spans="1:8" x14ac:dyDescent="0.25">
      <c r="A25" s="13" t="s">
        <v>250</v>
      </c>
      <c r="B25" s="4">
        <v>74.599999999999994</v>
      </c>
      <c r="C25" s="4">
        <v>20</v>
      </c>
      <c r="D25" s="4">
        <v>85</v>
      </c>
      <c r="E25" s="5">
        <f>(B25-C25)/(D25-C25)</f>
        <v>0.83999999999999986</v>
      </c>
      <c r="F25" s="5">
        <f>(B25-C25)/(D25-C25)</f>
        <v>0.83999999999999986</v>
      </c>
      <c r="G25" s="13" t="s">
        <v>251</v>
      </c>
      <c r="H25" s="13" t="s">
        <v>252</v>
      </c>
    </row>
    <row r="26" spans="1:8" x14ac:dyDescent="0.25">
      <c r="A26" s="13" t="s">
        <v>253</v>
      </c>
      <c r="B26" s="4">
        <v>9.1</v>
      </c>
      <c r="C26" s="4">
        <v>0</v>
      </c>
      <c r="D26" s="4">
        <v>15</v>
      </c>
      <c r="E26" s="5">
        <f>(B26-C26)/(D26-C26)</f>
        <v>0.60666666666666669</v>
      </c>
      <c r="F26" s="5">
        <f>(B26-C26)/(D26-C26)</f>
        <v>0.60666666666666669</v>
      </c>
      <c r="G26" s="13" t="s">
        <v>251</v>
      </c>
      <c r="H26" s="13" t="s">
        <v>254</v>
      </c>
    </row>
    <row r="27" spans="1:8" x14ac:dyDescent="0.25">
      <c r="A27" s="13" t="s">
        <v>255</v>
      </c>
      <c r="B27" s="4">
        <v>15.2</v>
      </c>
      <c r="C27" s="4">
        <v>0</v>
      </c>
      <c r="D27" s="4">
        <v>18</v>
      </c>
      <c r="E27" s="5">
        <f>B27/D27</f>
        <v>0.84444444444444444</v>
      </c>
      <c r="F27" s="5">
        <f>B27/D27</f>
        <v>0.84444444444444444</v>
      </c>
      <c r="G27" s="13" t="s">
        <v>251</v>
      </c>
      <c r="H27" s="13" t="s">
        <v>254</v>
      </c>
    </row>
    <row r="28" spans="1:8" x14ac:dyDescent="0.25">
      <c r="A28" s="13" t="s">
        <v>256</v>
      </c>
      <c r="B28" s="4">
        <v>17948</v>
      </c>
      <c r="C28" s="4">
        <v>100</v>
      </c>
      <c r="D28" s="4">
        <v>75000</v>
      </c>
      <c r="E28" s="5">
        <f>(LN(B28)-LN(C28))/(LN(D28)-LN(C28))</f>
        <v>0.78398888036284187</v>
      </c>
      <c r="F28" s="5">
        <f>(LN(B28)-LN(C28))/(LN(D28)-LN(C28))</f>
        <v>0.78398888036284187</v>
      </c>
      <c r="G28" s="13" t="s">
        <v>257</v>
      </c>
      <c r="H28" s="13" t="s">
        <v>258</v>
      </c>
    </row>
    <row r="30" spans="1:8" x14ac:dyDescent="0.25">
      <c r="A30" s="18" t="s">
        <v>259</v>
      </c>
      <c r="B30" s="19">
        <f>(F26+F27)/2</f>
        <v>0.72555555555555551</v>
      </c>
      <c r="C30" s="13" t="s">
        <v>260</v>
      </c>
    </row>
    <row r="31" spans="1:8" x14ac:dyDescent="0.25">
      <c r="A31" s="18" t="s">
        <v>218</v>
      </c>
      <c r="B31" s="19">
        <f>(F25*B30*F28)^(1/3)</f>
        <v>0.78178371624872278</v>
      </c>
      <c r="C31" s="13" t="s">
        <v>261</v>
      </c>
    </row>
  </sheetData>
  <mergeCells count="5">
    <mergeCell ref="A1:J1"/>
    <mergeCell ref="F3:I3"/>
    <mergeCell ref="A3:D3"/>
    <mergeCell ref="A13:E13"/>
    <mergeCell ref="A23:H23"/>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3"/>
  <sheetViews>
    <sheetView showGridLines="0" workbookViewId="0">
      <selection sqref="A1:D1"/>
    </sheetView>
  </sheetViews>
  <sheetFormatPr defaultRowHeight="15" x14ac:dyDescent="0.25"/>
  <cols>
    <col min="1" max="1" width="28" customWidth="1"/>
    <col min="2" max="2" width="95" customWidth="1"/>
    <col min="3" max="4" width="16" customWidth="1"/>
  </cols>
  <sheetData>
    <row r="1" spans="1:4" ht="19.5" x14ac:dyDescent="0.3">
      <c r="A1" s="53" t="s">
        <v>262</v>
      </c>
      <c r="B1" s="51"/>
      <c r="C1" s="51"/>
      <c r="D1" s="51"/>
    </row>
    <row r="3" spans="1:4" x14ac:dyDescent="0.25">
      <c r="A3" s="50" t="s">
        <v>263</v>
      </c>
      <c r="B3" s="51"/>
      <c r="C3" s="51"/>
      <c r="D3" s="51"/>
    </row>
    <row r="4" spans="1:4" x14ac:dyDescent="0.25">
      <c r="A4" s="3" t="s">
        <v>264</v>
      </c>
      <c r="B4" s="3" t="s">
        <v>107</v>
      </c>
    </row>
    <row r="5" spans="1:4" x14ac:dyDescent="0.25">
      <c r="A5" s="18" t="s">
        <v>265</v>
      </c>
      <c r="B5" s="2" t="s">
        <v>2</v>
      </c>
    </row>
    <row r="6" spans="1:4" x14ac:dyDescent="0.25">
      <c r="A6" s="18" t="s">
        <v>3</v>
      </c>
      <c r="B6" s="2" t="s">
        <v>4</v>
      </c>
    </row>
    <row r="7" spans="1:4" x14ac:dyDescent="0.25">
      <c r="A7" s="18" t="s">
        <v>5</v>
      </c>
      <c r="B7" s="2" t="s">
        <v>6</v>
      </c>
    </row>
    <row r="8" spans="1:4" x14ac:dyDescent="0.25">
      <c r="A8" s="18" t="s">
        <v>266</v>
      </c>
      <c r="B8" s="2" t="s">
        <v>267</v>
      </c>
    </row>
    <row r="9" spans="1:4" x14ac:dyDescent="0.25">
      <c r="A9" s="18" t="s">
        <v>268</v>
      </c>
      <c r="B9" s="2" t="s">
        <v>269</v>
      </c>
    </row>
    <row r="10" spans="1:4" x14ac:dyDescent="0.25">
      <c r="A10" s="18" t="s">
        <v>270</v>
      </c>
      <c r="B10" s="2" t="s">
        <v>12</v>
      </c>
    </row>
    <row r="12" spans="1:4" x14ac:dyDescent="0.25">
      <c r="A12" s="50" t="s">
        <v>271</v>
      </c>
      <c r="B12" s="51"/>
      <c r="C12" s="51"/>
      <c r="D12" s="51"/>
    </row>
    <row r="13" spans="1:4" x14ac:dyDescent="0.25">
      <c r="A13" s="3" t="s">
        <v>264</v>
      </c>
      <c r="B13" s="3" t="s">
        <v>107</v>
      </c>
    </row>
    <row r="14" spans="1:4" x14ac:dyDescent="0.25">
      <c r="A14" s="18" t="s">
        <v>272</v>
      </c>
      <c r="B14" s="2" t="s">
        <v>273</v>
      </c>
    </row>
    <row r="15" spans="1:4" x14ac:dyDescent="0.25">
      <c r="A15" s="18" t="s">
        <v>274</v>
      </c>
      <c r="B15" s="2" t="s">
        <v>275</v>
      </c>
    </row>
    <row r="16" spans="1:4" x14ac:dyDescent="0.25">
      <c r="A16" s="18" t="s">
        <v>276</v>
      </c>
      <c r="B16" s="2" t="s">
        <v>277</v>
      </c>
    </row>
    <row r="17" spans="1:4" x14ac:dyDescent="0.25">
      <c r="A17" s="18" t="s">
        <v>106</v>
      </c>
      <c r="B17" s="2" t="s">
        <v>278</v>
      </c>
    </row>
    <row r="19" spans="1:4" x14ac:dyDescent="0.25">
      <c r="A19" s="50" t="s">
        <v>279</v>
      </c>
      <c r="B19" s="51"/>
      <c r="C19" s="51"/>
      <c r="D19" s="51"/>
    </row>
    <row r="20" spans="1:4" x14ac:dyDescent="0.25">
      <c r="A20" s="3" t="s">
        <v>264</v>
      </c>
      <c r="B20" s="3" t="s">
        <v>107</v>
      </c>
    </row>
    <row r="21" spans="1:4" x14ac:dyDescent="0.25">
      <c r="A21" s="18" t="s">
        <v>280</v>
      </c>
      <c r="B21" s="2" t="s">
        <v>281</v>
      </c>
    </row>
    <row r="22" spans="1:4" ht="30" x14ac:dyDescent="0.25">
      <c r="A22" s="18" t="s">
        <v>282</v>
      </c>
      <c r="B22" s="2" t="s">
        <v>283</v>
      </c>
    </row>
    <row r="23" spans="1:4" x14ac:dyDescent="0.25">
      <c r="A23" s="18" t="s">
        <v>284</v>
      </c>
      <c r="B23" s="2" t="s">
        <v>285</v>
      </c>
    </row>
  </sheetData>
  <mergeCells count="4">
    <mergeCell ref="A1:D1"/>
    <mergeCell ref="A12:D12"/>
    <mergeCell ref="A3:D3"/>
    <mergeCell ref="A19:D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0"/>
  <sheetViews>
    <sheetView workbookViewId="0"/>
  </sheetViews>
  <sheetFormatPr defaultRowHeight="15" x14ac:dyDescent="0.25"/>
  <cols>
    <col min="1" max="1" width="44.140625" customWidth="1"/>
    <col min="2" max="2" width="13.42578125" customWidth="1"/>
    <col min="3" max="3" width="11.7109375" customWidth="1"/>
    <col min="4" max="4" width="11.42578125" customWidth="1"/>
    <col min="5" max="5" width="13.28515625" customWidth="1"/>
    <col min="6" max="6" width="11.85546875" customWidth="1"/>
    <col min="7" max="7" width="8" customWidth="1"/>
  </cols>
  <sheetData>
    <row r="1" spans="1:7" ht="18" customHeight="1" x14ac:dyDescent="0.25">
      <c r="A1" s="20"/>
      <c r="B1" s="21"/>
      <c r="C1" s="21"/>
      <c r="D1" s="21"/>
      <c r="E1" s="21"/>
      <c r="F1" s="21"/>
      <c r="G1" s="21"/>
    </row>
    <row r="2" spans="1:7" ht="33" customHeight="1" x14ac:dyDescent="0.25">
      <c r="A2" s="22" t="s">
        <v>286</v>
      </c>
      <c r="B2" s="21"/>
      <c r="C2" s="21"/>
      <c r="D2" s="21"/>
      <c r="E2" s="21"/>
      <c r="F2" s="21"/>
      <c r="G2" s="21"/>
    </row>
    <row r="3" spans="1:7" ht="48" customHeight="1" x14ac:dyDescent="0.25">
      <c r="A3" s="23"/>
      <c r="B3" s="24" t="s">
        <v>17</v>
      </c>
      <c r="C3" s="24" t="s">
        <v>287</v>
      </c>
      <c r="D3" s="24" t="s">
        <v>288</v>
      </c>
      <c r="E3" s="24">
        <v>2012</v>
      </c>
      <c r="F3" s="24" t="s">
        <v>289</v>
      </c>
      <c r="G3" s="21"/>
    </row>
    <row r="4" spans="1:7" ht="43.5" customHeight="1" x14ac:dyDescent="0.25">
      <c r="A4" s="25" t="s">
        <v>290</v>
      </c>
      <c r="B4" s="26">
        <v>2004</v>
      </c>
      <c r="C4" s="26">
        <v>2804</v>
      </c>
      <c r="D4" s="26">
        <v>3821</v>
      </c>
      <c r="E4" s="26">
        <v>5652</v>
      </c>
      <c r="F4" s="26">
        <v>7497</v>
      </c>
      <c r="G4" s="21"/>
    </row>
    <row r="5" spans="1:7" ht="30" customHeight="1" x14ac:dyDescent="0.25">
      <c r="A5" s="27" t="s">
        <v>291</v>
      </c>
      <c r="B5" s="28">
        <v>23800</v>
      </c>
      <c r="C5" s="28">
        <v>23700</v>
      </c>
      <c r="D5" s="28">
        <v>26100</v>
      </c>
      <c r="E5" s="28">
        <v>33600</v>
      </c>
      <c r="F5" s="28">
        <v>36100</v>
      </c>
      <c r="G5" s="21"/>
    </row>
    <row r="6" spans="1:7" ht="27.75" customHeight="1" x14ac:dyDescent="0.25">
      <c r="A6" s="27" t="s">
        <v>85</v>
      </c>
      <c r="B6" s="29">
        <v>8.6999999999999993</v>
      </c>
      <c r="C6" s="29">
        <v>7.7</v>
      </c>
      <c r="D6" s="29">
        <v>7.9</v>
      </c>
      <c r="E6" s="29">
        <v>9.4</v>
      </c>
      <c r="F6" s="29">
        <v>9.4</v>
      </c>
      <c r="G6" s="21"/>
    </row>
    <row r="7" spans="1:7" ht="24.75" customHeight="1" x14ac:dyDescent="0.25">
      <c r="A7" s="30" t="s">
        <v>24</v>
      </c>
      <c r="B7" s="31">
        <v>92700</v>
      </c>
      <c r="C7" s="31">
        <v>93800</v>
      </c>
      <c r="D7" s="31">
        <v>105200</v>
      </c>
      <c r="E7" s="31">
        <v>122700</v>
      </c>
      <c r="F7" s="31">
        <v>130500</v>
      </c>
      <c r="G7" s="21"/>
    </row>
    <row r="8" spans="1:7" ht="24.75" customHeight="1" x14ac:dyDescent="0.25">
      <c r="A8" s="32" t="s">
        <v>26</v>
      </c>
      <c r="B8" s="33">
        <v>8.1999999999999993</v>
      </c>
      <c r="C8" s="33">
        <v>7.8</v>
      </c>
      <c r="D8" s="33">
        <v>8.5</v>
      </c>
      <c r="E8" s="33">
        <v>9.8000000000000007</v>
      </c>
      <c r="F8" s="33">
        <v>10.3</v>
      </c>
      <c r="G8" s="21"/>
    </row>
    <row r="9" spans="1:7" ht="24.75" customHeight="1" x14ac:dyDescent="0.25">
      <c r="A9" s="27" t="s">
        <v>92</v>
      </c>
      <c r="B9" s="34">
        <v>21</v>
      </c>
      <c r="C9" s="34">
        <v>22.6</v>
      </c>
      <c r="D9" s="34">
        <v>21.9</v>
      </c>
      <c r="E9" s="34">
        <v>24</v>
      </c>
      <c r="F9" s="34">
        <v>23.8</v>
      </c>
      <c r="G9" s="21"/>
    </row>
    <row r="10" spans="1:7" ht="24.75" customHeight="1" x14ac:dyDescent="0.25">
      <c r="A10" s="25" t="s">
        <v>96</v>
      </c>
      <c r="B10" s="35">
        <v>1.7</v>
      </c>
      <c r="C10" s="35">
        <v>1.8</v>
      </c>
      <c r="D10" s="35">
        <v>1.9</v>
      </c>
      <c r="E10" s="36">
        <v>2.2999999999999998</v>
      </c>
      <c r="F10" s="36">
        <v>2.4</v>
      </c>
      <c r="G10" s="21"/>
    </row>
    <row r="11" spans="1:7" ht="61.5" customHeight="1" x14ac:dyDescent="0.25">
      <c r="A11" s="37" t="s">
        <v>28</v>
      </c>
      <c r="B11" s="38">
        <v>300</v>
      </c>
      <c r="C11" s="38">
        <v>450</v>
      </c>
      <c r="D11" s="38">
        <v>700</v>
      </c>
      <c r="E11" s="39">
        <v>1300</v>
      </c>
      <c r="F11" s="39">
        <v>1900</v>
      </c>
      <c r="G11" s="21"/>
    </row>
    <row r="12" spans="1:7" ht="30" customHeight="1" x14ac:dyDescent="0.25">
      <c r="A12" s="40" t="s">
        <v>292</v>
      </c>
      <c r="B12" s="21"/>
      <c r="C12" s="21"/>
      <c r="D12" s="21"/>
      <c r="E12" s="21"/>
      <c r="F12" s="21"/>
      <c r="G12" s="21"/>
    </row>
    <row r="13" spans="1:7" x14ac:dyDescent="0.25">
      <c r="A13" s="41"/>
      <c r="B13" s="42"/>
      <c r="C13" s="42"/>
      <c r="D13" s="42"/>
      <c r="E13" s="42"/>
      <c r="F13" s="21"/>
      <c r="G13" s="21"/>
    </row>
    <row r="14" spans="1:7" ht="22.5" customHeight="1" x14ac:dyDescent="0.25">
      <c r="A14" s="43" t="s">
        <v>293</v>
      </c>
      <c r="B14" s="42"/>
      <c r="C14" s="42"/>
      <c r="D14" s="42"/>
      <c r="E14" s="42"/>
      <c r="F14" s="21"/>
      <c r="G14" s="21"/>
    </row>
    <row r="15" spans="1:7" ht="17.25" customHeight="1" x14ac:dyDescent="0.25">
      <c r="A15" s="44" t="s">
        <v>294</v>
      </c>
      <c r="B15" s="21"/>
      <c r="C15" s="21"/>
      <c r="D15" s="21"/>
      <c r="E15" s="21"/>
      <c r="F15" s="21"/>
      <c r="G15" s="21"/>
    </row>
    <row r="16" spans="1:7" ht="17.25" customHeight="1" x14ac:dyDescent="0.25">
      <c r="A16" s="45" t="s">
        <v>295</v>
      </c>
      <c r="B16" s="21"/>
      <c r="C16" s="21"/>
      <c r="D16" s="21"/>
      <c r="E16" s="21"/>
      <c r="F16" s="21"/>
      <c r="G16" s="21"/>
    </row>
    <row r="17" spans="1:7" x14ac:dyDescent="0.25">
      <c r="A17" s="25"/>
      <c r="B17" s="21"/>
      <c r="C17" s="21"/>
      <c r="D17" s="21"/>
      <c r="E17" s="21"/>
      <c r="F17" s="21"/>
      <c r="G17" s="21"/>
    </row>
    <row r="18" spans="1:7" x14ac:dyDescent="0.25">
      <c r="A18" s="21"/>
      <c r="B18" s="21"/>
      <c r="C18" s="21"/>
      <c r="D18" s="21"/>
      <c r="E18" s="21"/>
      <c r="F18" s="21"/>
      <c r="G18" s="21"/>
    </row>
    <row r="19" spans="1:7" x14ac:dyDescent="0.25">
      <c r="A19" s="21"/>
      <c r="B19" s="21"/>
      <c r="C19" s="21"/>
      <c r="D19" s="21"/>
      <c r="E19" s="21"/>
      <c r="F19" s="21"/>
      <c r="G19" s="21"/>
    </row>
    <row r="20" spans="1:7" x14ac:dyDescent="0.25">
      <c r="A20" s="21"/>
      <c r="B20" s="21"/>
      <c r="C20" s="21"/>
      <c r="D20" s="21"/>
      <c r="E20" s="21"/>
      <c r="F20" s="21"/>
      <c r="G20" s="21"/>
    </row>
    <row r="21" spans="1:7" ht="15.75" customHeight="1" x14ac:dyDescent="0.25"/>
    <row r="22" spans="1:7" ht="15.75" customHeight="1" x14ac:dyDescent="0.25"/>
    <row r="23" spans="1:7" ht="15.75" customHeight="1" x14ac:dyDescent="0.25"/>
    <row r="24" spans="1:7" ht="15.75" customHeight="1" x14ac:dyDescent="0.25"/>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000"/>
  <sheetViews>
    <sheetView workbookViewId="0"/>
  </sheetViews>
  <sheetFormatPr defaultRowHeight="15" x14ac:dyDescent="0.25"/>
  <cols>
    <col min="1" max="1" width="22.85546875" customWidth="1"/>
    <col min="2" max="2" width="105" customWidth="1"/>
    <col min="3" max="3" width="9.140625" customWidth="1"/>
    <col min="10" max="10" width="8" customWidth="1"/>
  </cols>
  <sheetData>
    <row r="1" spans="1:3" ht="17.25" customHeight="1" x14ac:dyDescent="0.25">
      <c r="A1" s="20"/>
      <c r="B1" s="21"/>
      <c r="C1" s="21"/>
    </row>
    <row r="2" spans="1:3" ht="28.5" customHeight="1" x14ac:dyDescent="0.25">
      <c r="A2" s="46" t="s">
        <v>296</v>
      </c>
      <c r="B2" s="43"/>
      <c r="C2" s="21"/>
    </row>
    <row r="3" spans="1:3" ht="76.5" customHeight="1" x14ac:dyDescent="0.25">
      <c r="A3" s="47" t="s">
        <v>297</v>
      </c>
      <c r="B3" s="48" t="s">
        <v>298</v>
      </c>
      <c r="C3" s="21"/>
    </row>
    <row r="4" spans="1:3" ht="55.5" customHeight="1" x14ac:dyDescent="0.25">
      <c r="A4" s="47" t="s">
        <v>133</v>
      </c>
      <c r="B4" s="48" t="s">
        <v>134</v>
      </c>
      <c r="C4" s="21"/>
    </row>
    <row r="5" spans="1:3" ht="50.25" customHeight="1" x14ac:dyDescent="0.25">
      <c r="A5" s="47" t="s">
        <v>299</v>
      </c>
      <c r="B5" s="48" t="s">
        <v>137</v>
      </c>
      <c r="C5" s="21"/>
    </row>
    <row r="6" spans="1:3" ht="120" customHeight="1" x14ac:dyDescent="0.25">
      <c r="A6" s="47" t="s">
        <v>300</v>
      </c>
      <c r="B6" s="48" t="s">
        <v>301</v>
      </c>
      <c r="C6" s="21"/>
    </row>
    <row r="7" spans="1:3" ht="111.75" customHeight="1" x14ac:dyDescent="0.25">
      <c r="A7" s="47" t="s">
        <v>83</v>
      </c>
      <c r="B7" s="48" t="s">
        <v>302</v>
      </c>
      <c r="C7" s="21"/>
    </row>
    <row r="8" spans="1:3" ht="116.25" customHeight="1" x14ac:dyDescent="0.25">
      <c r="A8" s="47" t="s">
        <v>303</v>
      </c>
      <c r="B8" s="48" t="s">
        <v>304</v>
      </c>
      <c r="C8" s="21"/>
    </row>
    <row r="9" spans="1:3" ht="135" customHeight="1" x14ac:dyDescent="0.25">
      <c r="A9" s="47" t="s">
        <v>305</v>
      </c>
      <c r="B9" s="48" t="s">
        <v>306</v>
      </c>
      <c r="C9" s="21"/>
    </row>
    <row r="10" spans="1:3" ht="54" customHeight="1" x14ac:dyDescent="0.25">
      <c r="A10" s="47" t="s">
        <v>307</v>
      </c>
      <c r="B10" s="48" t="s">
        <v>150</v>
      </c>
      <c r="C10" s="21"/>
    </row>
    <row r="11" spans="1:3" ht="296.25" customHeight="1" x14ac:dyDescent="0.25">
      <c r="A11" s="47" t="s">
        <v>152</v>
      </c>
      <c r="B11" s="48" t="s">
        <v>308</v>
      </c>
      <c r="C11" s="21"/>
    </row>
    <row r="12" spans="1:3" ht="105.75" customHeight="1" x14ac:dyDescent="0.25">
      <c r="A12" s="47" t="s">
        <v>309</v>
      </c>
      <c r="B12" s="48" t="s">
        <v>310</v>
      </c>
      <c r="C12" s="21"/>
    </row>
    <row r="13" spans="1:3" ht="84" customHeight="1" x14ac:dyDescent="0.25">
      <c r="A13" s="47" t="s">
        <v>311</v>
      </c>
      <c r="B13" s="48" t="s">
        <v>312</v>
      </c>
      <c r="C13" s="21"/>
    </row>
    <row r="14" spans="1:3" ht="160.5" customHeight="1" x14ac:dyDescent="0.25">
      <c r="A14" s="47" t="s">
        <v>161</v>
      </c>
      <c r="B14" s="48" t="s">
        <v>313</v>
      </c>
      <c r="C14" s="21"/>
    </row>
    <row r="15" spans="1:3" ht="77.25" customHeight="1" x14ac:dyDescent="0.25">
      <c r="A15" s="47" t="s">
        <v>314</v>
      </c>
      <c r="B15" s="48" t="s">
        <v>315</v>
      </c>
      <c r="C15" s="21"/>
    </row>
    <row r="16" spans="1:3" ht="130.5" customHeight="1" x14ac:dyDescent="0.25">
      <c r="A16" s="47" t="s">
        <v>167</v>
      </c>
      <c r="B16" s="48" t="s">
        <v>168</v>
      </c>
      <c r="C16" s="21"/>
    </row>
    <row r="17" spans="1:3" ht="105" customHeight="1" x14ac:dyDescent="0.25">
      <c r="A17" s="47" t="s">
        <v>316</v>
      </c>
      <c r="B17" s="48" t="s">
        <v>317</v>
      </c>
      <c r="C17" s="21"/>
    </row>
    <row r="18" spans="1:3" ht="60" customHeight="1" x14ac:dyDescent="0.25">
      <c r="A18" s="47" t="s">
        <v>318</v>
      </c>
      <c r="B18" s="48" t="s">
        <v>319</v>
      </c>
      <c r="C18" s="21"/>
    </row>
    <row r="19" spans="1:3" ht="101.25" customHeight="1" x14ac:dyDescent="0.25">
      <c r="A19" s="47" t="s">
        <v>320</v>
      </c>
      <c r="B19" s="48" t="s">
        <v>321</v>
      </c>
      <c r="C19" s="21"/>
    </row>
    <row r="20" spans="1:3" ht="126.75" customHeight="1" x14ac:dyDescent="0.25">
      <c r="A20" s="47" t="s">
        <v>322</v>
      </c>
      <c r="B20" s="48" t="s">
        <v>179</v>
      </c>
      <c r="C20" s="21"/>
    </row>
    <row r="21" spans="1:3" ht="40.5" customHeight="1" x14ac:dyDescent="0.25">
      <c r="A21" s="47" t="s">
        <v>181</v>
      </c>
      <c r="B21" s="48" t="s">
        <v>182</v>
      </c>
      <c r="C21" s="21"/>
    </row>
    <row r="22" spans="1:3" ht="231.75" customHeight="1" x14ac:dyDescent="0.25">
      <c r="A22" s="47" t="s">
        <v>323</v>
      </c>
      <c r="B22" s="48" t="s">
        <v>324</v>
      </c>
      <c r="C22" s="21"/>
    </row>
    <row r="23" spans="1:3" ht="300" customHeight="1" x14ac:dyDescent="0.25">
      <c r="A23" s="47" t="s">
        <v>188</v>
      </c>
      <c r="B23" s="54" t="s">
        <v>189</v>
      </c>
      <c r="C23" s="49"/>
    </row>
    <row r="24" spans="1:3" ht="145.5" customHeight="1" x14ac:dyDescent="0.25">
      <c r="A24" s="43"/>
      <c r="B24" s="51"/>
      <c r="C24" s="21"/>
    </row>
    <row r="25" spans="1:3" ht="15.75" customHeight="1" x14ac:dyDescent="0.25">
      <c r="A25" s="21"/>
      <c r="B25" s="21"/>
      <c r="C25" s="21"/>
    </row>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B23:B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Indicators_Wide</vt:lpstr>
      <vt:lpstr>Indicators_Long</vt:lpstr>
      <vt:lpstr>Trend_Intervals</vt:lpstr>
      <vt:lpstr>Dashboard</vt:lpstr>
      <vt:lpstr>Concepts_Definitions</vt:lpstr>
      <vt:lpstr>Formula_Examples</vt:lpstr>
      <vt:lpstr>Metadata_Notes</vt:lpstr>
      <vt:lpstr>Raw_Table1</vt:lpstr>
      <vt:lpstr>Raw_Concepts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Ihsaan Ramjanee</dc:creator>
  <cp:lastModifiedBy>Ramjanee Mohammad Ihsaan</cp:lastModifiedBy>
  <dcterms:created xsi:type="dcterms:W3CDTF">2026-03-25T11:26:14Z</dcterms:created>
  <dcterms:modified xsi:type="dcterms:W3CDTF">2026-03-25T11:26:14Z</dcterms:modified>
</cp:coreProperties>
</file>